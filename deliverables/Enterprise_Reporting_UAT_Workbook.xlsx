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bc8839e53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Summary" sheetId="1" r:id="R40b78cee7d3144a5"/>
    <x:sheet xmlns:r="http://schemas.openxmlformats.org/officeDocument/2006/relationships" name="Test Cases" sheetId="2" r:id="R0531c455b2ea4d23"/>
    <x:sheet xmlns:r="http://schemas.openxmlformats.org/officeDocument/2006/relationships" name="Reconciliation" sheetId="3" r:id="R2ddb7f13b9434695"/>
    <x:sheet xmlns:r="http://schemas.openxmlformats.org/officeDocument/2006/relationships" name="Quality Analysis" sheetId="4" r:id="Rde83604a5d33442b"/>
    <x:sheet xmlns:r="http://schemas.openxmlformats.org/officeDocument/2006/relationships" name="Traceability" sheetId="5" r:id="Rc84d0e620b144786"/>
    <x:sheet xmlns:r="http://schemas.openxmlformats.org/officeDocument/2006/relationships" name="Benefits Case" sheetId="6" r:id="R6c2b027b9eb14e97"/>
    <x:sheet xmlns:r="http://schemas.openxmlformats.org/officeDocument/2006/relationships" name="Defects" sheetId="7" r:id="R8479fc02a49f40fb"/>
    <x:sheet xmlns:r="http://schemas.openxmlformats.org/officeDocument/2006/relationships" name="Sign-Off" sheetId="8" r:id="R48075ff2d495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"/>
    <x:numFmt numFmtId="201" formatCode="0.0%"/>
    <x:numFmt numFmtId="202" formatCode="yyyy-mm-dd"/>
    <x:numFmt numFmtId="203" formatCode="$#,##0.00;[Red]($#,##0.00)"/>
    <x:numFmt numFmtId="204" formatCode="0.00%"/>
    <x:numFmt numFmtId="205" formatCode="mmm-yy"/>
    <x:numFmt numFmtId="206" formatCode="#,##0"/>
    <x:numFmt numFmtId="207" formatCode="$#,##0"/>
    <x:numFmt numFmtId="208" formatCode="0.00"/>
    <x:numFmt numFmtId="209" formatCode="0.00x"/>
    <x:numFmt numFmtId="210" formatCode="0.0"/>
  </x:numFmts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9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0" fontId="5" fillId="0" borderId="5" xfId="0" applyNumberFormat="1" applyFont="1" applyFill="1" applyBorder="1"/>
    <x:xf numFmtId="201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201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1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3" fontId="5" fillId="0" borderId="4" xfId="0" applyNumberFormat="1" applyFont="1" applyFill="1" applyBorder="1" applyAlignment="1">
      <x:alignment vertical="center" wrapText="1"/>
    </x:xf>
    <x:xf numFmtId="203" fontId="5" fillId="0" borderId="5" xfId="0" applyNumberFormat="1" applyFont="1" applyFill="1" applyBorder="1" applyAlignment="1">
      <x:alignment vertical="center" wrapText="1"/>
    </x:xf>
    <x:xf numFmtId="204" fontId="5" fillId="0" borderId="4" xfId="0" applyNumberFormat="1" applyFont="1" applyFill="1" applyBorder="1" applyAlignment="1">
      <x:alignment vertical="center" wrapText="1"/>
    </x:xf>
    <x:xf numFmtId="204" fontId="5" fillId="0" borderId="5" xfId="0" applyNumberFormat="1" applyFont="1" applyFill="1" applyBorder="1" applyAlignment="1">
      <x:alignment vertical="center" wrapText="1"/>
    </x:xf>
    <x:xf numFmtId="205" fontId="5" fillId="0" borderId="4" xfId="0" applyNumberFormat="1" applyFont="1" applyFill="1" applyBorder="1" applyAlignment="1">
      <x:alignment vertical="center" wrapText="1"/>
    </x:xf>
    <x:xf numFmtId="205" fontId="5" fillId="0" borderId="5" xfId="0" applyNumberFormat="1" applyFont="1" applyFill="1" applyBorder="1" applyAlignment="1">
      <x:alignment vertical="center" wrapText="1"/>
    </x:xf>
    <x:xf numFmtId="206" fontId="5" fillId="0" borderId="4" xfId="0" applyNumberFormat="1" applyFont="1" applyFill="1" applyBorder="1" applyAlignment="1">
      <x:alignment vertical="center" wrapText="1"/>
    </x:xf>
    <x:xf numFmtId="206" fontId="5" fillId="0" borderId="5" xfId="0" applyNumberFormat="1" applyFont="1" applyFill="1" applyBorder="1" applyAlignment="1">
      <x:alignment vertical="center" wrapText="1"/>
    </x:xf>
    <x:xf numFmtId="207" fontId="5" fillId="0" borderId="4" xfId="0" applyNumberFormat="1" applyFont="1" applyFill="1" applyBorder="1" applyAlignment="1">
      <x:alignment vertical="center" wrapText="1"/>
    </x:xf>
    <x:xf numFmtId="207" fontId="5" fillId="0" borderId="5" xfId="0" applyNumberFormat="1" applyFont="1" applyFill="1" applyBorder="1" applyAlignment="1">
      <x:alignment vertical="center" wrapText="1"/>
    </x:xf>
    <x:xf numFmtId="208" fontId="5" fillId="0" borderId="4" xfId="0" applyNumberFormat="1" applyFont="1" applyFill="1" applyBorder="1" applyAlignment="1">
      <x:alignment vertical="center" wrapText="1"/>
    </x:xf>
    <x:xf numFmtId="208" fontId="5" fillId="0" borderId="5" xfId="0" applyNumberFormat="1" applyFont="1" applyFill="1" applyBorder="1" applyAlignment="1">
      <x:alignment vertical="center" wrapText="1"/>
    </x:xf>
    <x:xf numFmtId="209" fontId="5" fillId="0" borderId="5" xfId="0" applyNumberFormat="1" applyFont="1" applyFill="1" applyBorder="1" applyAlignment="1">
      <x:alignment vertical="center" wrapText="1"/>
    </x:xf>
    <x:xf numFmtId="21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ca82499144c8f" /><Relationship Type="http://schemas.openxmlformats.org/officeDocument/2006/relationships/theme" Target="/xl/theme/theme1.xml" Id="Rf92c849facda45f4" /><Relationship Type="http://schemas.openxmlformats.org/officeDocument/2006/relationships/sharedStrings" Target="/xl/sharedStrings.xml" Id="R1c3db640f2344efe" /><Relationship Type="http://schemas.openxmlformats.org/officeDocument/2006/relationships/worksheet" Target="/xl/worksheets/sheet1.xml" Id="R40b78cee7d3144a5" /><Relationship Type="http://schemas.openxmlformats.org/officeDocument/2006/relationships/worksheet" Target="/xl/worksheets/sheet2.xml" Id="R0531c455b2ea4d23" /><Relationship Type="http://schemas.openxmlformats.org/officeDocument/2006/relationships/worksheet" Target="/xl/worksheets/sheet3.xml" Id="R2ddb7f13b9434695" /><Relationship Type="http://schemas.openxmlformats.org/officeDocument/2006/relationships/worksheet" Target="/xl/worksheets/sheet4.xml" Id="Rde83604a5d33442b" /><Relationship Type="http://schemas.openxmlformats.org/officeDocument/2006/relationships/worksheet" Target="/xl/worksheets/sheet5.xml" Id="Rc84d0e620b144786" /><Relationship Type="http://schemas.openxmlformats.org/officeDocument/2006/relationships/worksheet" Target="/xl/worksheets/sheet6.xml" Id="R6c2b027b9eb14e97" /><Relationship Type="http://schemas.openxmlformats.org/officeDocument/2006/relationships/worksheet" Target="/xl/worksheets/sheet7.xml" Id="R8479fc02a49f40fb" /><Relationship Type="http://schemas.openxmlformats.org/officeDocument/2006/relationships/worksheet" Target="/xl/worksheets/sheet8.xml" Id="R48075ff2d49541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66958ac46f441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8e1816a944244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UAT Status</a:t>
            </a:r>
          </a:p>
        </c:rich>
      </c:tx>
      <c:overlay val="0"/>
    </c:title>
    <c:plotArea>
      <c:doughnutChart>
        <c:ser>
          <c:idx val="0"/>
          <c:order val="0"/>
          <c:tx>
            <c:v>Count</c:v>
          </c:tx>
          <c:cat>
            <c:strRef>
              <c:f>'UAT Summary'!$A$10:$A$13</c:f>
              <c:strCache>
                <c:ptCount val="0"/>
              </c:strCache>
            </c:strRef>
          </c:cat>
          <c:val>
            <c:numRef>
              <c:f>'UAT Summary'!$B$10:$B$13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Rate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Completeness %</c:v>
          </c:tx>
          <c:marker>
            <c:symbol val="none"/>
          </c:marker>
          <c:cat>
            <c:strRef>
              <c:f>'Quality Analysis'!$A$7:$A$18</c:f>
              <c:strCache>
                <c:ptCount val="0"/>
              </c:strCache>
            </c:strRef>
          </c:cat>
          <c:val>
            <c:numRef>
              <c:f>'Quality Analysis'!$G$7:$G$18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Mapping Success %</c:v>
          </c:tx>
          <c:marker>
            <c:symbol val="none"/>
          </c:marker>
          <c:cat>
            <c:strRef>
              <c:f>'Quality Analysis'!$A$7:$A$18</c:f>
              <c:strCache>
                <c:ptCount val="0"/>
              </c:strCache>
            </c:strRef>
          </c:cat>
          <c:val>
            <c:numRef>
              <c:f>'Quality Analysis'!$I$7:$I$18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66958ac46f441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5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1816a944244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3afaa5ce2f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b5fed09cc20425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4" hidden="0" customWidth="1"/>
    <x:col min="8" max="8" width="16" hidden="0" customWidth="1"/>
  </x:cols>
  <x:sheetData>
    <x:row r="1" ht="8" customHeight="1"/>
    <x:row r="2">
      <x:c r="A2" s="1" t="str">
        <x:v>Enterprise Reporting Modernization - UAT</x:v>
      </x:c>
    </x:row>
    <x:row r="3">
      <x:c r="A3" s="2" t="str">
        <x:v>Execution dashboard | Update Actual Result, Status, Defect ID, and Evidence in Test Cases</x:v>
      </x:c>
    </x:row>
    <x:row r="5">
      <x:c r="A5" s="14" t="str">
        <x:v>Total Tests</x:v>
      </x:c>
      <x:c r="B5" s="15" t="str">
        <x:v>Executed</x:v>
      </x:c>
      <x:c r="C5" s="15" t="str">
        <x:v>Passed</x:v>
      </x:c>
      <x:c r="D5" s="15" t="str">
        <x:v>Failed</x:v>
      </x:c>
      <x:c r="E5" s="15" t="str">
        <x:v>Blocked</x:v>
      </x:c>
      <x:c r="F5" s="15" t="str">
        <x:v>Pending</x:v>
      </x:c>
      <x:c r="G5" s="15" t="str">
        <x:v>Pass Rate</x:v>
      </x:c>
      <x:c r="H5" s="16" t="str">
        <x:v>UAT Gate</x:v>
      </x:c>
    </x:row>
    <x:row r="6">
      <x:c r="A6" s="21" t="n">
        <x:f>COUNTA('Test Cases'!A7:A30)</x:f>
        <x:v>18</x:v>
      </x:c>
      <x:c r="B6" s="21" t="n">
        <x:f>COUNTIF('Test Cases'!L7:L30,"Pass")+COUNTIF('Test Cases'!L7:L30,"Fail")+COUNTIF('Test Cases'!L7:L30,"Blocked")</x:f>
        <x:v>17</x:v>
      </x:c>
      <x:c r="C6" s="21" t="n">
        <x:f>COUNTIF('Test Cases'!L7:L30,"Pass")</x:f>
        <x:v>15</x:v>
      </x:c>
      <x:c r="D6" s="21" t="n">
        <x:f>COUNTIF('Test Cases'!L7:L30,"Fail")</x:f>
        <x:v>0</x:v>
      </x:c>
      <x:c r="E6" s="21" t="n">
        <x:f>COUNTIF('Test Cases'!L7:L30,"Blocked")</x:f>
        <x:v>2</x:v>
      </x:c>
      <x:c r="F6" s="21" t="n">
        <x:f>COUNTIF('Test Cases'!L7:L30,"Not Run")</x:f>
        <x:v>1</x:v>
      </x:c>
      <x:c r="G6" s="22" t="n">
        <x:f>IFERROR(C6/B6,0)</x:f>
        <x:v>0.8823529411764706</x:v>
      </x:c>
      <x:c r="H6" s="21" t="str">
        <x:f>IF(AND(G6&gt;=0.95,D6=0,E6=0,COUNTIFS('Defects'!A7:A20,"&lt;&gt;",'Defects'!D7:D20,"&lt;=2",'Defects'!H7:H20,"&lt;&gt;Closed")=0),"READY","NOT READY")</x:f>
        <x:v>NOT READY</x:v>
      </x:c>
    </x:row>
    <x:row r="9">
      <x:c r="A9" s="14" t="str">
        <x:v>Status</x:v>
      </x:c>
      <x:c r="B9" s="15" t="str">
        <x:v>Count</x:v>
      </x:c>
      <x:c r="C9" s="15" t="str">
        <x:v>Share</x:v>
      </x:c>
      <x:c r="D9" s="16" t="str">
        <x:v>Interpretation</x:v>
      </x:c>
    </x:row>
    <x:row r="10">
      <x:c r="A10" s="34" t="str">
        <x:v>Pass</x:v>
      </x:c>
      <x:c r="B10" s="34" t="n">
        <x:f>COUNTIF('Test Cases'!$L$7:$L$30,A10)</x:f>
        <x:v>15</x:v>
      </x:c>
      <x:c r="C10" s="35" t="n">
        <x:f>IFERROR(B10/$A$6,0)</x:f>
        <x:v>0.8333333333333334</x:v>
      </x:c>
      <x:c r="D10" s="34" t="str">
        <x:v>Meets expected result</x:v>
      </x:c>
    </x:row>
    <x:row r="11">
      <x:c r="A11" s="36" t="str">
        <x:v>Fail</x:v>
      </x:c>
      <x:c r="B11" s="36" t="n">
        <x:f>COUNTIF('Test Cases'!$L$7:$L$30,A11)</x:f>
        <x:v>0</x:v>
      </x:c>
      <x:c r="C11" s="37" t="n">
        <x:f>IFERROR(B11/$A$6,0)</x:f>
        <x:v>0</x:v>
      </x:c>
      <x:c r="D11" s="36" t="str">
        <x:v>Does not meet expected result</x:v>
      </x:c>
    </x:row>
    <x:row r="12">
      <x:c r="A12" s="36" t="str">
        <x:v>Blocked</x:v>
      </x:c>
      <x:c r="B12" s="36" t="n">
        <x:f>COUNTIF('Test Cases'!$L$7:$L$30,A12)</x:f>
        <x:v>2</x:v>
      </x:c>
      <x:c r="C12" s="37" t="n">
        <x:f>IFERROR(B12/$A$6,0)</x:f>
        <x:v>0.1111111111111111</x:v>
      </x:c>
      <x:c r="D12" s="36" t="str">
        <x:v>Cannot execute due to dependency</x:v>
      </x:c>
    </x:row>
    <x:row r="13">
      <x:c r="A13" s="36" t="str">
        <x:v>Not Run</x:v>
      </x:c>
      <x:c r="B13" s="36" t="n">
        <x:f>COUNTIF('Test Cases'!$L$7:$L$30,A13)</x:f>
        <x:v>1</x:v>
      </x:c>
      <x:c r="C13" s="37" t="n">
        <x:f>IFERROR(B13/$A$6,0)</x:f>
        <x:v>0.05555555555555555</x:v>
      </x:c>
      <x:c r="D13" s="36" t="str">
        <x:v>Pending execution</x:v>
      </x:c>
    </x:row>
    <x:row r="16">
      <x:c r="A16" s="14" t="str">
        <x:v>Exit Criteria</x:v>
      </x:c>
      <x:c r="B16" s="15" t="str">
        <x:v>Target</x:v>
      </x:c>
      <x:c r="C16" s="15" t="str">
        <x:v>Current</x:v>
      </x:c>
      <x:c r="D16" s="15" t="str">
        <x:v>Result</x:v>
      </x:c>
      <x:c r="E16" s="15" t="str">
        <x:v>Owner</x:v>
      </x:c>
      <x:c r="F16" s="15" t="str">
        <x:v>Evidence</x:v>
      </x:c>
      <x:c r="G16" s="15" t="str">
        <x:v>Decision Date</x:v>
      </x:c>
      <x:c r="H16" s="16" t="str">
        <x:v>Comment</x:v>
      </x:c>
    </x:row>
    <x:row r="17">
      <x:c r="A17" s="34" t="str">
        <x:v>Must-have tests executed</x:v>
      </x:c>
      <x:c r="B17" s="34" t="str">
        <x:v>100%</x:v>
      </x:c>
      <x:c r="C17" s="35" t="n">
        <x:f>IFERROR(COUNTIFS('Test Cases'!D7:D30,"Must",'Test Cases'!L7:L30,"&lt;&gt;Not Run")/COUNTIF('Test Cases'!D7:D30,"Must"),0)</x:f>
        <x:v>0.9411764705882353</x:v>
      </x:c>
      <x:c r="D17" s="34" t="str">
        <x:f>IF(C17=1,"Pass","Fail")</x:f>
        <x:v>Fail</x:v>
      </x:c>
      <x:c r="E17" s="34" t="str">
        <x:v>UAT Lead</x:v>
      </x:c>
      <x:c r="F17" s="34" t="str">
        <x:v>Test Cases</x:v>
      </x:c>
      <x:c r="G17" s="34"/>
      <x:c r="H17" s="34" t="str"/>
    </x:row>
    <x:row r="18">
      <x:c r="A18" s="36" t="str">
        <x:v>Overall pass rate</x:v>
      </x:c>
      <x:c r="B18" s="36" t="str">
        <x:v>&gt;=95%</x:v>
      </x:c>
      <x:c r="C18" s="37" t="n">
        <x:f>G6</x:f>
        <x:v>0.8823529411764706</x:v>
      </x:c>
      <x:c r="D18" s="36" t="str">
        <x:f>IF(C18&gt;=0.95,"Pass","Fail")</x:f>
        <x:v>Fail</x:v>
      </x:c>
      <x:c r="E18" s="36" t="str">
        <x:v>UAT Lead</x:v>
      </x:c>
      <x:c r="F18" s="36" t="str">
        <x:v>UAT Summary</x:v>
      </x:c>
      <x:c r="G18" s="36"/>
      <x:c r="H18" s="36" t="str"/>
    </x:row>
    <x:row r="19">
      <x:c r="A19" s="36" t="str">
        <x:v>Open Sev 1/2 defects</x:v>
      </x:c>
      <x:c r="B19" s="36" t="str">
        <x:v>0</x:v>
      </x:c>
      <x:c r="C19" s="36" t="n">
        <x:f>COUNTIFS('Defects'!A7:A20,"&lt;&gt;",'Defects'!D7:D20,"&lt;=2",'Defects'!H7:H20,"&lt;&gt;Closed")</x:f>
        <x:v>1</x:v>
      </x:c>
      <x:c r="D19" s="36" t="str">
        <x:f>IF(C19=0,"Pass","Fail")</x:f>
        <x:v>Fail</x:v>
      </x:c>
      <x:c r="E19" s="36" t="str">
        <x:v>Product Owner</x:v>
      </x:c>
      <x:c r="F19" s="36" t="str">
        <x:v>Defects</x:v>
      </x:c>
      <x:c r="G19" s="36"/>
      <x:c r="H19" s="36" t="str"/>
    </x:row>
    <x:row r="20">
      <x:c r="A20" s="36" t="str">
        <x:v>Business approvals</x:v>
      </x:c>
      <x:c r="B20" s="36" t="str">
        <x:v>3</x:v>
      </x:c>
      <x:c r="C20" s="36" t="n">
        <x:f>COUNTIF('Sign-Off'!D7:D12,"Approved")</x:f>
        <x:v>2</x:v>
      </x:c>
      <x:c r="D20" s="36" t="str">
        <x:f>IF(C20&gt;=3,"Pass","Fail")</x:f>
        <x:v>Fail</x:v>
      </x:c>
      <x:c r="E20" s="36" t="str">
        <x:v>BA</x:v>
      </x:c>
      <x:c r="F20" s="36" t="str">
        <x:v>Sign-Off</x:v>
      </x:c>
      <x:c r="G20" s="36"/>
      <x:c r="H20" s="36" t="str"/>
    </x:row>
  </x:sheetData>
  <x:mergeCells>
    <x:mergeCell ref="A2:H2"/>
    <x:mergeCell ref="A3:H3"/>
  </x:mergeCells>
  <x:conditionalFormatting sqref="D17:D20">
    <x:cfRule type="containsText" dxfId="0" priority="1" operator="containsText" text="Fail"/>
  </x:conditionalFormatting>
  <x:conditionalFormatting sqref="H6:H6">
    <x:cfRule type="containsText" dxfId="1" priority="2" operator="containsText" text="NOT READY"/>
  </x:conditionalFormatting>
  <x:pageMargins left="0.7" right="0.7" top="0.75" bottom="0.75" header="0.3" footer="0.3"/>
  <x:drawing xmlns:r="http://schemas.openxmlformats.org/officeDocument/2006/relationships" r:id="Rf33afaa5ce2f4f95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3" hidden="0" customWidth="1"/>
    <x:col min="4" max="4" width="9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26" hidden="0" customWidth="1"/>
    <x:col min="10" max="10" width="18" hidden="0" customWidth="1"/>
    <x:col min="11" max="11" width="12" hidden="0" customWidth="1"/>
    <x:col min="12" max="12" width="11" hidden="0" customWidth="1"/>
    <x:col min="13" max="13" width="12" hidden="0" customWidth="1"/>
    <x:col min="14" max="14" width="24" hidden="0" customWidth="1"/>
  </x:cols>
  <x:sheetData>
    <x:row r="1" ht="8" customHeight="1"/>
    <x:row r="2">
      <x:c r="A2" s="1" t="str">
        <x:v>UAT Test Cases</x:v>
      </x:c>
    </x:row>
    <x:row r="3">
      <x:c r="A3" s="2" t="str">
        <x:v>Traceable functional, KPI, control, security, performance, and accessibility tests</x:v>
      </x:c>
    </x:row>
    <x:row r="6">
      <x:c r="A6" s="14" t="str">
        <x:v>Test ID</x:v>
      </x:c>
      <x:c r="B6" s="15" t="str">
        <x:v>Req ID</x:v>
      </x:c>
      <x:c r="C6" s="15" t="str">
        <x:v>Type</x:v>
      </x:c>
      <x:c r="D6" s="15" t="str">
        <x:v>Priority</x:v>
      </x:c>
      <x:c r="E6" s="15" t="str">
        <x:v>Scenario</x:v>
      </x:c>
      <x:c r="F6" s="15" t="str">
        <x:v>Precondition</x:v>
      </x:c>
      <x:c r="G6" s="15" t="str">
        <x:v>Test Steps</x:v>
      </x:c>
      <x:c r="H6" s="15" t="str">
        <x:v>Expected Result</x:v>
      </x:c>
      <x:c r="I6" s="15" t="str">
        <x:v>Actual Result</x:v>
      </x:c>
      <x:c r="J6" s="15" t="str">
        <x:v>Tester</x:v>
      </x:c>
      <x:c r="K6" s="15" t="str">
        <x:v>Exec Date</x:v>
      </x:c>
      <x:c r="L6" s="15" t="str">
        <x:v>Status</x:v>
      </x:c>
      <x:c r="M6" s="15" t="str">
        <x:v>Defect ID</x:v>
      </x:c>
      <x:c r="N6" s="16" t="str">
        <x:v>Evidence / Notes</x:v>
      </x:c>
    </x:row>
    <x:row r="7">
      <x:c r="A7" s="34" t="str">
        <x:v>UAT-01</x:v>
      </x:c>
      <x:c r="B7" s="34" t="str">
        <x:v>FR-01 / KPI-03</x:v>
      </x:c>
      <x:c r="C7" s="34" t="str">
        <x:v>KPI</x:v>
      </x:c>
      <x:c r="D7" s="34" t="str">
        <x:v>Must</x:v>
      </x:c>
      <x:c r="E7" s="34" t="str">
        <x:v>Net Revenue calculation</x:v>
      </x:c>
      <x:c r="F7" s="34" t="str">
        <x:v>Approved invoice/credit dataset</x:v>
      </x:c>
      <x:c r="G7" s="34" t="str">
        <x:v>Filter Jan 2026; compare line and total</x:v>
      </x:c>
      <x:c r="H7" s="34" t="str">
        <x:v>Gross - discounts - approved credits; exact to $0.01</x:v>
      </x:c>
      <x:c r="I7" s="34" t="str">
        <x:v>Matches expected control total</x:v>
      </x:c>
      <x:c r="J7" s="34" t="str">
        <x:v>Finance Tester</x:v>
      </x:c>
      <x:c r="K7" s="38" t="n">
        <x:v>46279</x:v>
      </x:c>
      <x:c r="L7" s="34" t="str">
        <x:v>Pass</x:v>
      </x:c>
      <x:c r="M7" s="34" t="str"/>
      <x:c r="N7" s="34" t="str">
        <x:v>Recon!A7:H10</x:v>
      </x:c>
    </x:row>
    <x:row r="8">
      <x:c r="A8" s="36" t="str">
        <x:v>UAT-02</x:v>
      </x:c>
      <x:c r="B8" s="36" t="str">
        <x:v>BR-03 / DQ-02</x:v>
      </x:c>
      <x:c r="C8" s="36" t="str">
        <x:v>Data Quality</x:v>
      </x:c>
      <x:c r="D8" s="36" t="str">
        <x:v>Must</x:v>
      </x:c>
      <x:c r="E8" s="36" t="str">
        <x:v>Duplicate survivor</x:v>
      </x:c>
      <x:c r="F8" s="36" t="str">
        <x:v>Duplicate key with newer modified timestamp</x:v>
      </x:c>
      <x:c r="G8" s="36" t="str">
        <x:v>Refresh; inspect accepted and quarantine sets</x:v>
      </x:c>
      <x:c r="H8" s="36" t="str">
        <x:v>One latest valid survivor; conflict logged</x:v>
      </x:c>
      <x:c r="I8" s="36" t="str">
        <x:v>Latest valid row retained</x:v>
      </x:c>
      <x:c r="J8" s="36" t="str">
        <x:v>Data Steward</x:v>
      </x:c>
      <x:c r="K8" s="39" t="n">
        <x:v>46279</x:v>
      </x:c>
      <x:c r="L8" s="36" t="str">
        <x:v>Pass</x:v>
      </x:c>
      <x:c r="M8" s="36" t="str"/>
      <x:c r="N8" s="36" t="str">
        <x:v>Batch B20260914</x:v>
      </x:c>
    </x:row>
    <x:row r="9">
      <x:c r="A9" s="36" t="str">
        <x:v>UAT-03</x:v>
      </x:c>
      <x:c r="B9" s="36" t="str">
        <x:v>BR-04 / DQ-08</x:v>
      </x:c>
      <x:c r="C9" s="36" t="str">
        <x:v>Mapping</x:v>
      </x:c>
      <x:c r="D9" s="36" t="str">
        <x:v>Must</x:v>
      </x:c>
      <x:c r="E9" s="36" t="str">
        <x:v>Effective-dated department</x:v>
      </x:c>
      <x:c r="F9" s="36" t="str">
        <x:v>Alias spans reorganization date</x:v>
      </x:c>
      <x:c r="G9" s="36" t="str">
        <x:v>Test dates before and after effective change</x:v>
      </x:c>
      <x:c r="H9" s="36" t="str">
        <x:v>Exactly one department resolves for each date</x:v>
      </x:c>
      <x:c r="I9" s="36" t="str">
        <x:v>Historical mapping preserved</x:v>
      </x:c>
      <x:c r="J9" s="36" t="str">
        <x:v>Data Steward</x:v>
      </x:c>
      <x:c r="K9" s="39" t="n">
        <x:v>46279</x:v>
      </x:c>
      <x:c r="L9" s="36" t="str">
        <x:v>Pass</x:v>
      </x:c>
      <x:c r="M9" s="36" t="str"/>
      <x:c r="N9" s="36" t="str">
        <x:v>Mapping v1.2</x:v>
      </x:c>
    </x:row>
    <x:row r="10">
      <x:c r="A10" s="36" t="str">
        <x:v>UAT-04</x:v>
      </x:c>
      <x:c r="B10" s="36" t="str">
        <x:v>KPI-05</x:v>
      </x:c>
      <x:c r="C10" s="36" t="str">
        <x:v>KPI</x:v>
      </x:c>
      <x:c r="D10" s="36" t="str">
        <x:v>Must</x:v>
      </x:c>
      <x:c r="E10" s="36" t="str">
        <x:v>On-time boundary</x:v>
      </x:c>
      <x:c r="F10" s="36" t="str">
        <x:v>Delivered on promised date</x:v>
      </x:c>
      <x:c r="G10" s="36" t="str">
        <x:v>Filter boundary record</x:v>
      </x:c>
      <x:c r="H10" s="36" t="str">
        <x:v>Counts as on time</x:v>
      </x:c>
      <x:c r="I10" s="36" t="str">
        <x:v>Included in numerator</x:v>
      </x:c>
      <x:c r="J10" s="36" t="str">
        <x:v>Ops Tester</x:v>
      </x:c>
      <x:c r="K10" s="39" t="n">
        <x:v>46280</x:v>
      </x:c>
      <x:c r="L10" s="36" t="str">
        <x:v>Pass</x:v>
      </x:c>
      <x:c r="M10" s="36" t="str"/>
      <x:c r="N10" s="36" t="str">
        <x:v>Order O-1008</x:v>
      </x:c>
    </x:row>
    <x:row r="11">
      <x:c r="A11" s="36" t="str">
        <x:v>UAT-05</x:v>
      </x:c>
      <x:c r="B11" s="36" t="str">
        <x:v>KPI-06</x:v>
      </x:c>
      <x:c r="C11" s="36" t="str">
        <x:v>KPI</x:v>
      </x:c>
      <x:c r="D11" s="36" t="str">
        <x:v>Must</x:v>
      </x:c>
      <x:c r="E11" s="36" t="str">
        <x:v>Fill rate cap</x:v>
      </x:c>
      <x:c r="F11" s="36" t="str">
        <x:v>Shipped quantity exceeds ordered by one</x:v>
      </x:c>
      <x:c r="G11" s="36" t="str">
        <x:v>Review line and aggregate</x:v>
      </x:c>
      <x:c r="H11" s="36" t="str">
        <x:v>Line numerator capped at ordered quantity</x:v>
      </x:c>
      <x:c r="I11" s="36" t="str">
        <x:v>100%; not 105%</x:v>
      </x:c>
      <x:c r="J11" s="36" t="str">
        <x:v>Ops Tester</x:v>
      </x:c>
      <x:c r="K11" s="39" t="n">
        <x:v>46280</x:v>
      </x:c>
      <x:c r="L11" s="36" t="str">
        <x:v>Pass</x:v>
      </x:c>
      <x:c r="M11" s="36" t="str"/>
      <x:c r="N11" s="36" t="str">
        <x:v>Order O-1011</x:v>
      </x:c>
    </x:row>
    <x:row r="12">
      <x:c r="A12" s="36" t="str">
        <x:v>UAT-06</x:v>
      </x:c>
      <x:c r="B12" s="36" t="str">
        <x:v>KPI-07</x:v>
      </x:c>
      <x:c r="C12" s="36" t="str">
        <x:v>KPI</x:v>
      </x:c>
      <x:c r="D12" s="36" t="str">
        <x:v>Must</x:v>
      </x:c>
      <x:c r="E12" s="36" t="str">
        <x:v>Zero denominator return rate</x:v>
      </x:c>
      <x:c r="F12" s="36" t="str">
        <x:v>No shipped units in selected slice</x:v>
      </x:c>
      <x:c r="G12" s="36" t="str">
        <x:v>Apply filter</x:v>
      </x:c>
      <x:c r="H12" s="36" t="str">
        <x:v>Returns blank, not 0 or error</x:v>
      </x:c>
      <x:c r="I12" s="36" t="str">
        <x:v>Blank displayed</x:v>
      </x:c>
      <x:c r="J12" s="36" t="str">
        <x:v>Ops Tester</x:v>
      </x:c>
      <x:c r="K12" s="39" t="n">
        <x:v>46280</x:v>
      </x:c>
      <x:c r="L12" s="36" t="str">
        <x:v>Pass</x:v>
      </x:c>
      <x:c r="M12" s="36" t="str"/>
      <x:c r="N12" s="36" t="str">
        <x:v>Screenshot OPS-06</x:v>
      </x:c>
    </x:row>
    <x:row r="13">
      <x:c r="A13" s="36" t="str">
        <x:v>UAT-07</x:v>
      </x:c>
      <x:c r="B13" s="36" t="str">
        <x:v>BR-10 / DQ-06</x:v>
      </x:c>
      <x:c r="C13" s="36" t="str">
        <x:v>Reconciliation</x:v>
      </x:c>
      <x:c r="D13" s="36" t="str">
        <x:v>Must</x:v>
      </x:c>
      <x:c r="E13" s="36" t="str">
        <x:v>Ledger tolerance</x:v>
      </x:c>
      <x:c r="F13" s="36" t="str">
        <x:v>Load control total and mart total</x:v>
      </x:c>
      <x:c r="G13" s="36" t="str">
        <x:v>Run control</x:v>
      </x:c>
      <x:c r="H13" s="36" t="str">
        <x:v>Pass only within both 0.5% and $1,000</x:v>
      </x:c>
      <x:c r="I13" s="36" t="str">
        <x:v>Within both thresholds</x:v>
      </x:c>
      <x:c r="J13" s="36" t="str">
        <x:v>Finance Tester</x:v>
      </x:c>
      <x:c r="K13" s="39" t="n">
        <x:v>46280</x:v>
      </x:c>
      <x:c r="L13" s="36" t="str">
        <x:v>Pass</x:v>
      </x:c>
      <x:c r="M13" s="36" t="str"/>
      <x:c r="N13" s="36" t="str">
        <x:v>Recon!A7:H10</x:v>
      </x:c>
    </x:row>
    <x:row r="14">
      <x:c r="A14" s="36" t="str">
        <x:v>UAT-08</x:v>
      </x:c>
      <x:c r="B14" s="36" t="str">
        <x:v>FR-02</x:v>
      </x:c>
      <x:c r="C14" s="36" t="str">
        <x:v>Functional</x:v>
      </x:c>
      <x:c r="D14" s="36" t="str">
        <x:v>Must</x:v>
      </x:c>
      <x:c r="E14" s="36" t="str">
        <x:v>Cross-filtering</x:v>
      </x:c>
      <x:c r="F14" s="36" t="str">
        <x:v>Dashboard refreshed</x:v>
      </x:c>
      <x:c r="G14" s="36" t="str">
        <x:v>Select East and Product A</x:v>
      </x:c>
      <x:c r="H14" s="36" t="str">
        <x:v>All visuals and cards reflect filters</x:v>
      </x:c>
      <x:c r="I14" s="36" t="str">
        <x:v>Cross-filter verified</x:v>
      </x:c>
      <x:c r="J14" s="36" t="str">
        <x:v>Business Tester</x:v>
      </x:c>
      <x:c r="K14" s="39" t="n">
        <x:v>46281</x:v>
      </x:c>
      <x:c r="L14" s="36" t="str">
        <x:v>Pass</x:v>
      </x:c>
      <x:c r="M14" s="36" t="str"/>
      <x:c r="N14" s="36" t="str">
        <x:v>Screenshot EX-08</x:v>
      </x:c>
    </x:row>
    <x:row r="15">
      <x:c r="A15" s="36" t="str">
        <x:v>UAT-09</x:v>
      </x:c>
      <x:c r="B15" s="36" t="str">
        <x:v>FR-02</x:v>
      </x:c>
      <x:c r="C15" s="36" t="str">
        <x:v>Functional</x:v>
      </x:c>
      <x:c r="D15" s="36" t="str">
        <x:v>Must</x:v>
      </x:c>
      <x:c r="E15" s="36" t="str">
        <x:v>13-month trend</x:v>
      </x:c>
      <x:c r="F15" s="36" t="str">
        <x:v>13 months loaded</x:v>
      </x:c>
      <x:c r="G15" s="36" t="str">
        <x:v>Review axis and totals</x:v>
      </x:c>
      <x:c r="H15" s="36" t="str">
        <x:v>Chronological 13 months; no gaps</x:v>
      </x:c>
      <x:c r="I15" s="36" t="str">
        <x:v>13 months shown</x:v>
      </x:c>
      <x:c r="J15" s="36" t="str">
        <x:v>Business Tester</x:v>
      </x:c>
      <x:c r="K15" s="39" t="n">
        <x:v>46281</x:v>
      </x:c>
      <x:c r="L15" s="36" t="str">
        <x:v>Pass</x:v>
      </x:c>
      <x:c r="M15" s="36" t="str"/>
      <x:c r="N15" s="36" t="str">
        <x:v>Screenshot EX-09</x:v>
      </x:c>
    </x:row>
    <x:row r="16">
      <x:c r="A16" s="36" t="str">
        <x:v>UAT-10</x:v>
      </x:c>
      <x:c r="B16" s="36" t="str">
        <x:v>FR-03 / US-05</x:v>
      </x:c>
      <x:c r="C16" s="36" t="str">
        <x:v>Lineage</x:v>
      </x:c>
      <x:c r="D16" s="36" t="str">
        <x:v>Must</x:v>
      </x:c>
      <x:c r="E16" s="36" t="str">
        <x:v>Order-line drill-through</x:v>
      </x:c>
      <x:c r="F16" s="36" t="str">
        <x:v>Select a variance point</x:v>
      </x:c>
      <x:c r="G16" s="36" t="str">
        <x:v>Open detail and metadata</x:v>
      </x:c>
      <x:c r="H16" s="36" t="str">
        <x:v>Source file, key, batch, load time visible</x:v>
      </x:c>
      <x:c r="I16" s="36" t="str">
        <x:v>Trace complete</x:v>
      </x:c>
      <x:c r="J16" s="36" t="str">
        <x:v>Audit Tester</x:v>
      </x:c>
      <x:c r="K16" s="39" t="n">
        <x:v>46281</x:v>
      </x:c>
      <x:c r="L16" s="36" t="str">
        <x:v>Pass</x:v>
      </x:c>
      <x:c r="M16" s="36" t="str"/>
      <x:c r="N16" s="36" t="str">
        <x:v>Screenshot LN-10</x:v>
      </x:c>
    </x:row>
    <x:row r="17">
      <x:c r="A17" s="36" t="str">
        <x:v>UAT-11</x:v>
      </x:c>
      <x:c r="B17" s="36" t="str">
        <x:v>FR-04</x:v>
      </x:c>
      <x:c r="C17" s="36" t="str">
        <x:v>Control</x:v>
      </x:c>
      <x:c r="D17" s="36" t="str">
        <x:v>Must</x:v>
      </x:c>
      <x:c r="E17" s="36" t="str">
        <x:v>Certification banner</x:v>
      </x:c>
      <x:c r="F17" s="36" t="str">
        <x:v>Force failed reconciliation</x:v>
      </x:c>
      <x:c r="G17" s="36" t="str">
        <x:v>Refresh report</x:v>
      </x:c>
      <x:c r="H17" s="36" t="str">
        <x:v>Banner = Not Certified and link shows failure</x:v>
      </x:c>
      <x:c r="I17" s="36" t="str">
        <x:v>Control displayed</x:v>
      </x:c>
      <x:c r="J17" s="36" t="str">
        <x:v>BI Tester</x:v>
      </x:c>
      <x:c r="K17" s="39" t="n">
        <x:v>46281</x:v>
      </x:c>
      <x:c r="L17" s="36" t="str">
        <x:v>Pass</x:v>
      </x:c>
      <x:c r="M17" s="36" t="str"/>
      <x:c r="N17" s="36" t="str">
        <x:v>Screenshot DQ-11</x:v>
      </x:c>
    </x:row>
    <x:row r="18">
      <x:c r="A18" s="36" t="str">
        <x:v>UAT-12</x:v>
      </x:c>
      <x:c r="B18" s="36" t="str">
        <x:v>DQ-01</x:v>
      </x:c>
      <x:c r="C18" s="36" t="str">
        <x:v>Data Quality</x:v>
      </x:c>
      <x:c r="D18" s="36" t="str">
        <x:v>Must</x:v>
      </x:c>
      <x:c r="E18" s="36" t="str">
        <x:v>Mandatory field rejection</x:v>
      </x:c>
      <x:c r="F18" s="36" t="str">
        <x:v>Null OrderID in landing row</x:v>
      </x:c>
      <x:c r="G18" s="36" t="str">
        <x:v>Run validation</x:v>
      </x:c>
      <x:c r="H18" s="36" t="str">
        <x:v>Row rejected with DQ-01 and owner</x:v>
      </x:c>
      <x:c r="I18" s="36" t="str">
        <x:v>Exception logged</x:v>
      </x:c>
      <x:c r="J18" s="36" t="str">
        <x:v>Data Steward</x:v>
      </x:c>
      <x:c r="K18" s="39" t="n">
        <x:v>46281</x:v>
      </x:c>
      <x:c r="L18" s="36" t="str">
        <x:v>Pass</x:v>
      </x:c>
      <x:c r="M18" s="36" t="str"/>
      <x:c r="N18" s="36" t="str">
        <x:v>Exception E-12</x:v>
      </x:c>
    </x:row>
    <x:row r="19">
      <x:c r="A19" s="36" t="str">
        <x:v>UAT-13</x:v>
      </x:c>
      <x:c r="B19" s="36" t="str">
        <x:v>NFR-02</x:v>
      </x:c>
      <x:c r="C19" s="36" t="str">
        <x:v>Refresh</x:v>
      </x:c>
      <x:c r="D19" s="36" t="str">
        <x:v>Must</x:v>
      </x:c>
      <x:c r="E19" s="36" t="str">
        <x:v>Refresh SLA</x:v>
      </x:c>
      <x:c r="F19" s="36" t="str">
        <x:v>Scheduled production-like environment</x:v>
      </x:c>
      <x:c r="G19" s="36" t="str">
        <x:v>Observe BD2 run</x:v>
      </x:c>
      <x:c r="H19" s="36" t="str">
        <x:v>Refresh complete by 9:00 a.m. ET</x:v>
      </x:c>
      <x:c r="I19" s="36" t="str">
        <x:v>Awaiting scheduled run</x:v>
      </x:c>
      <x:c r="J19" s="36" t="str">
        <x:v>BI Tester</x:v>
      </x:c>
      <x:c r="K19" s="39"/>
      <x:c r="L19" s="36" t="str">
        <x:v>Not Run</x:v>
      </x:c>
      <x:c r="M19" s="36" t="str"/>
      <x:c r="N19" s="36" t="str">
        <x:v>Environment dependency</x:v>
      </x:c>
    </x:row>
    <x:row r="20">
      <x:c r="A20" s="36" t="str">
        <x:v>UAT-14</x:v>
      </x:c>
      <x:c r="B20" s="36" t="str">
        <x:v>NFR-03 / US-06</x:v>
      </x:c>
      <x:c r="C20" s="36" t="str">
        <x:v>Security</x:v>
      </x:c>
      <x:c r="D20" s="36" t="str">
        <x:v>Must</x:v>
      </x:c>
      <x:c r="E20" s="36" t="str">
        <x:v>East region RLS</x:v>
      </x:c>
      <x:c r="F20" s="36" t="str">
        <x:v>East manager test account</x:v>
      </x:c>
      <x:c r="G20" s="36" t="str">
        <x:v>Open report and attempt URL/filter changes</x:v>
      </x:c>
      <x:c r="H20" s="36" t="str">
        <x:v>Only East rows visible</x:v>
      </x:c>
      <x:c r="I20" s="36" t="str">
        <x:v>Awaiting tenant role</x:v>
      </x:c>
      <x:c r="J20" s="36" t="str">
        <x:v>Security Tester</x:v>
      </x:c>
      <x:c r="K20" s="39"/>
      <x:c r="L20" s="36" t="str">
        <x:v>Blocked</x:v>
      </x:c>
      <x:c r="M20" s="36" t="str">
        <x:v>DEF-001</x:v>
      </x:c>
      <x:c r="N20" s="36" t="str">
        <x:v>Tenant role pending</x:v>
      </x:c>
    </x:row>
    <x:row r="21">
      <x:c r="A21" s="36" t="str">
        <x:v>UAT-15</x:v>
      </x:c>
      <x:c r="B21" s="36" t="str">
        <x:v>NFR-03 / US-06</x:v>
      </x:c>
      <x:c r="C21" s="36" t="str">
        <x:v>Security</x:v>
      </x:c>
      <x:c r="D21" s="36" t="str">
        <x:v>Must</x:v>
      </x:c>
      <x:c r="E21" s="36" t="str">
        <x:v>No unauthorized export</x:v>
      </x:c>
      <x:c r="F21" s="36" t="str">
        <x:v>East manager test account</x:v>
      </x:c>
      <x:c r="G21" s="36" t="str">
        <x:v>Export detail after filter manipulation</x:v>
      </x:c>
      <x:c r="H21" s="36" t="str">
        <x:v>No West rows exported</x:v>
      </x:c>
      <x:c r="I21" s="36" t="str">
        <x:v>Awaiting tenant role</x:v>
      </x:c>
      <x:c r="J21" s="36" t="str">
        <x:v>Security Tester</x:v>
      </x:c>
      <x:c r="K21" s="39"/>
      <x:c r="L21" s="36" t="str">
        <x:v>Blocked</x:v>
      </x:c>
      <x:c r="M21" s="36" t="str">
        <x:v>DEF-001</x:v>
      </x:c>
      <x:c r="N21" s="36" t="str">
        <x:v>Tenant role pending</x:v>
      </x:c>
    </x:row>
    <x:row r="22">
      <x:c r="A22" s="36" t="str">
        <x:v>UAT-16</x:v>
      </x:c>
      <x:c r="B22" s="36" t="str">
        <x:v>NFR-01</x:v>
      </x:c>
      <x:c r="C22" s="36" t="str">
        <x:v>Performance</x:v>
      </x:c>
      <x:c r="D22" s="36" t="str">
        <x:v>Should</x:v>
      </x:c>
      <x:c r="E22" s="36" t="str">
        <x:v>Interaction response</x:v>
      </x:c>
      <x:c r="F22" s="36" t="str">
        <x:v>Production-size dataset</x:v>
      </x:c>
      <x:c r="G22" s="36" t="str">
        <x:v>Run five standard interactions</x:v>
      </x:c>
      <x:c r="H22" s="36" t="str">
        <x:v>95% complete in &lt;=5 sec</x:v>
      </x:c>
      <x:c r="I22" s="36" t="str">
        <x:v>4.2 sec P95</x:v>
      </x:c>
      <x:c r="J22" s="36" t="str">
        <x:v>BI Tester</x:v>
      </x:c>
      <x:c r="K22" s="39" t="n">
        <x:v>46282</x:v>
      </x:c>
      <x:c r="L22" s="36" t="str">
        <x:v>Pass</x:v>
      </x:c>
      <x:c r="M22" s="36" t="str"/>
      <x:c r="N22" s="36" t="str">
        <x:v>Perf log P-16</x:v>
      </x:c>
    </x:row>
    <x:row r="23">
      <x:c r="A23" s="36" t="str">
        <x:v>UAT-17</x:v>
      </x:c>
      <x:c r="B23" s="36" t="str">
        <x:v>FR-06</x:v>
      </x:c>
      <x:c r="C23" s="36" t="str">
        <x:v>Accessibility</x:v>
      </x:c>
      <x:c r="D23" s="36" t="str">
        <x:v>Must</x:v>
      </x:c>
      <x:c r="E23" s="36" t="str">
        <x:v>Keyboard navigation</x:v>
      </x:c>
      <x:c r="F23" s="36" t="str">
        <x:v>Published report</x:v>
      </x:c>
      <x:c r="G23" s="36" t="str">
        <x:v>Navigate pages and controls without mouse</x:v>
      </x:c>
      <x:c r="H23" s="36" t="str">
        <x:v>Logical tab order and visible focus</x:v>
      </x:c>
      <x:c r="I23" s="36" t="str">
        <x:v>Focus order corrected</x:v>
      </x:c>
      <x:c r="J23" s="36" t="str">
        <x:v>Accessibility Tester</x:v>
      </x:c>
      <x:c r="K23" s="39" t="n">
        <x:v>46282</x:v>
      </x:c>
      <x:c r="L23" s="36" t="str">
        <x:v>Pass</x:v>
      </x:c>
      <x:c r="M23" s="36" t="str"/>
      <x:c r="N23" s="36" t="str">
        <x:v>A11Y checklist</x:v>
      </x:c>
    </x:row>
    <x:row r="24">
      <x:c r="A24" s="36" t="str">
        <x:v>UAT-18</x:v>
      </x:c>
      <x:c r="B24" s="36" t="str">
        <x:v>FR-06</x:v>
      </x:c>
      <x:c r="C24" s="36" t="str">
        <x:v>Accessibility</x:v>
      </x:c>
      <x:c r="D24" s="36" t="str">
        <x:v>Must</x:v>
      </x:c>
      <x:c r="E24" s="36" t="str">
        <x:v>Contrast and alt text</x:v>
      </x:c>
      <x:c r="F24" s="36" t="str">
        <x:v>Published report</x:v>
      </x:c>
      <x:c r="G24" s="36" t="str">
        <x:v>Inspect visuals and screen reader labels</x:v>
      </x:c>
      <x:c r="H24" s="36" t="str">
        <x:v>Meets contrast; meaningful alt text</x:v>
      </x:c>
      <x:c r="I24" s="36" t="str">
        <x:v>Verified</x:v>
      </x:c>
      <x:c r="J24" s="36" t="str">
        <x:v>Accessibility Tester</x:v>
      </x:c>
      <x:c r="K24" s="39" t="n">
        <x:v>46282</x:v>
      </x:c>
      <x:c r="L24" s="36" t="str">
        <x:v>Pass</x:v>
      </x:c>
      <x:c r="M24" s="36" t="str"/>
      <x:c r="N24" s="36" t="str">
        <x:v>A11Y checklist</x:v>
      </x:c>
    </x:row>
  </x:sheetData>
  <x:mergeCells>
    <x:mergeCell ref="A2:H2"/>
    <x:mergeCell ref="A3:H3"/>
  </x:mergeCells>
  <x:conditionalFormatting sqref="L7:L30">
    <x:cfRule type="containsText" dxfId="2" priority="1" operator="containsText" text="Fail"/>
    <x:cfRule type="containsText" dxfId="3" priority="2" operator="containsText" text="Pass"/>
    <x:cfRule type="containsText" dxfId="4" priority="3" operator="containsText" text="Blocked"/>
  </x:conditionalFormatting>
  <x:dataValidations count="2">
    <x:dataValidation type="list" sqref="L7:L30">
      <x:formula1>"Not Run,Pass,Fail,Blocked"</x:formula1>
    </x:dataValidation>
    <x:dataValidation type="list" sqref="D7:D3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16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</x:cols>
  <x:sheetData>
    <x:row r="1" ht="8" customHeight="1"/>
    <x:row r="2">
      <x:c r="A2" s="1" t="str">
        <x:v>Reconciliation Controls</x:v>
      </x:c>
    </x:row>
    <x:row r="3">
      <x:c r="A3" s="2" t="str">
        <x:v>Source-to-mart-to-dashboard control totals; thresholds require both percent and absolute variance</x:v>
      </x:c>
    </x:row>
    <x:row r="6">
      <x:c r="A6" s="14" t="str">
        <x:v>Period</x:v>
      </x:c>
      <x:c r="B6" s="15" t="str">
        <x:v>Control</x:v>
      </x:c>
      <x:c r="C6" s="15" t="str">
        <x:v>Source Total</x:v>
      </x:c>
      <x:c r="D6" s="15" t="str">
        <x:v>Mart Total</x:v>
      </x:c>
      <x:c r="E6" s="15" t="str">
        <x:v>Dashboard Total</x:v>
      </x:c>
      <x:c r="F6" s="15" t="str">
        <x:v>Variance $</x:v>
      </x:c>
      <x:c r="G6" s="15" t="str">
        <x:v>Variance %</x:v>
      </x:c>
      <x:c r="H6" s="15" t="str">
        <x:v>Tolerance $</x:v>
      </x:c>
      <x:c r="I6" s="15" t="str">
        <x:v>Tolerance %</x:v>
      </x:c>
      <x:c r="J6" s="16" t="str">
        <x:v>Result</x:v>
      </x:c>
    </x:row>
    <x:row r="7">
      <x:c r="A7" s="38" t="n">
        <x:v>46053</x:v>
      </x:c>
      <x:c r="B7" s="34" t="str">
        <x:v>Net Revenue</x:v>
      </x:c>
      <x:c r="C7" s="40" t="n">
        <x:v>985000</x:v>
      </x:c>
      <x:c r="D7" s="40" t="n">
        <x:v>984600</x:v>
      </x:c>
      <x:c r="E7" s="40" t="n">
        <x:v>984600</x:v>
      </x:c>
      <x:c r="F7" s="40" t="n">
        <x:f>E7-C7</x:f>
        <x:v>-400</x:v>
      </x:c>
      <x:c r="G7" s="42" t="n">
        <x:f>IFERROR(F7/C7,0)</x:f>
        <x:v>-0.0004060913705583756</x:v>
      </x:c>
      <x:c r="H7" s="34" t="n">
        <x:v>1000</x:v>
      </x:c>
      <x:c r="I7" s="42" t="n">
        <x:v>0.005</x:v>
      </x:c>
      <x:c r="J7" s="34" t="str">
        <x:f>IF(AND(ABS(F7)&lt;=H7,ABS(G7)&lt;=I7),"Pass","Fail")</x:f>
        <x:v>Pass</x:v>
      </x:c>
    </x:row>
    <x:row r="8">
      <x:c r="A8" s="39" t="n">
        <x:v>46081</x:v>
      </x:c>
      <x:c r="B8" s="36" t="str">
        <x:v>Net Revenue</x:v>
      </x:c>
      <x:c r="C8" s="41" t="n">
        <x:v>1018000</x:v>
      </x:c>
      <x:c r="D8" s="41" t="n">
        <x:v>1018000</x:v>
      </x:c>
      <x:c r="E8" s="41" t="n">
        <x:v>1018000</x:v>
      </x:c>
      <x:c r="F8" s="41" t="n">
        <x:f>E8-C8</x:f>
        <x:v>0</x:v>
      </x:c>
      <x:c r="G8" s="43" t="n">
        <x:f>IFERROR(F8/C8,0)</x:f>
        <x:v>0</x:v>
      </x:c>
      <x:c r="H8" s="36" t="n">
        <x:v>1000</x:v>
      </x:c>
      <x:c r="I8" s="43" t="n">
        <x:v>0.005</x:v>
      </x:c>
      <x:c r="J8" s="36" t="str">
        <x:f>IF(AND(ABS(F8)&lt;=H8,ABS(G8)&lt;=I8),"Pass","Fail")</x:f>
        <x:v>Pass</x:v>
      </x:c>
    </x:row>
    <x:row r="9">
      <x:c r="A9" s="39" t="n">
        <x:v>46112</x:v>
      </x:c>
      <x:c r="B9" s="36" t="str">
        <x:v>Net Revenue</x:v>
      </x:c>
      <x:c r="C9" s="41" t="n">
        <x:v>1062500</x:v>
      </x:c>
      <x:c r="D9" s="41" t="n">
        <x:v>1062300</x:v>
      </x:c>
      <x:c r="E9" s="41" t="n">
        <x:v>1062300</x:v>
      </x:c>
      <x:c r="F9" s="41" t="n">
        <x:f>E9-C9</x:f>
        <x:v>-200</x:v>
      </x:c>
      <x:c r="G9" s="43" t="n">
        <x:f>IFERROR(F9/C9,0)</x:f>
        <x:v>-0.00018823529411764707</x:v>
      </x:c>
      <x:c r="H9" s="36" t="n">
        <x:v>1000</x:v>
      </x:c>
      <x:c r="I9" s="43" t="n">
        <x:v>0.005</x:v>
      </x:c>
      <x:c r="J9" s="36" t="str">
        <x:f>IF(AND(ABS(F9)&lt;=H9,ABS(G9)&lt;=I9),"Pass","Fail")</x:f>
        <x:v>Pass</x:v>
      </x:c>
    </x:row>
    <x:row r="10">
      <x:c r="A10" s="39" t="n">
        <x:v>46112</x:v>
      </x:c>
      <x:c r="B10" s="36" t="str">
        <x:v>COGS</x:v>
      </x:c>
      <x:c r="C10" s="41" t="n">
        <x:v>662000</x:v>
      </x:c>
      <x:c r="D10" s="41" t="n">
        <x:v>662000</x:v>
      </x:c>
      <x:c r="E10" s="41" t="n">
        <x:v>662000</x:v>
      </x:c>
      <x:c r="F10" s="41" t="n">
        <x:f>E10-C10</x:f>
        <x:v>0</x:v>
      </x:c>
      <x:c r="G10" s="43" t="n">
        <x:f>IFERROR(F10/C10,0)</x:f>
        <x:v>0</x:v>
      </x:c>
      <x:c r="H10" s="36" t="n">
        <x:v>1000</x:v>
      </x:c>
      <x:c r="I10" s="43" t="n">
        <x:v>0.005</x:v>
      </x:c>
      <x:c r="J10" s="36" t="str">
        <x:f>IF(AND(ABS(F10)&lt;=H10,ABS(G10)&lt;=I10),"Pass","Fail")</x:f>
        <x:v>Pass</x:v>
      </x:c>
    </x:row>
  </x:sheetData>
  <x:mergeCells>
    <x:mergeCell ref="A2:H2"/>
    <x:mergeCell ref="A3:H3"/>
  </x:mergeCells>
  <x:conditionalFormatting sqref="J7:J10">
    <x:cfRule type="containsText" dxfId="5" priority="1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7" hidden="0" customWidth="1"/>
    <x:col min="10" max="10" width="15" hidden="0" customWidth="1"/>
    <x:col min="11" max="11" width="15" hidden="0" customWidth="1"/>
  </x:cols>
  <x:sheetData>
    <x:row r="1" ht="8" customHeight="1"/>
    <x:row r="2">
      <x:c r="A2" s="1" t="str">
        <x:v>Data Quality Analytical Controls</x:v>
      </x:c>
    </x:row>
    <x:row r="3">
      <x:c r="A3" s="2" t="str">
        <x:v>Deterministic thresholds and rolling statistical signals for certified reporting batches</x:v>
      </x:c>
    </x:row>
    <x:row r="6">
      <x:c r="A6" s="14" t="str">
        <x:v>Period</x:v>
      </x:c>
      <x:c r="B6" s="15" t="str">
        <x:v>Landed Rows</x:v>
      </x:c>
      <x:c r="C6" s="15" t="str">
        <x:v>Accepted Rows</x:v>
      </x:c>
      <x:c r="D6" s="15" t="str">
        <x:v>Missing Mandatory</x:v>
      </x:c>
      <x:c r="E6" s="15" t="str">
        <x:v>Duplicate Rows</x:v>
      </x:c>
      <x:c r="F6" s="15" t="str">
        <x:v>Unmapped Rows</x:v>
      </x:c>
      <x:c r="G6" s="15" t="str">
        <x:v>Completeness %</x:v>
      </x:c>
      <x:c r="H6" s="15" t="str">
        <x:v>Duplicate %</x:v>
      </x:c>
      <x:c r="I6" s="15" t="str">
        <x:v>Mapping Success %</x:v>
      </x:c>
      <x:c r="J6" s="15" t="str">
        <x:v>Revenue $</x:v>
      </x:c>
      <x:c r="K6" s="16" t="str">
        <x:v>Revenue z-score</x:v>
      </x:c>
    </x:row>
    <x:row r="7">
      <x:c r="A7" s="44" t="n">
        <x:v>45777</x:v>
      </x:c>
      <x:c r="B7" s="46" t="n">
        <x:v>48210</x:v>
      </x:c>
      <x:c r="C7" s="46" t="n">
        <x:v>48170</x:v>
      </x:c>
      <x:c r="D7" s="46" t="n">
        <x:v>12</x:v>
      </x:c>
      <x:c r="E7" s="46" t="n">
        <x:v>18</x:v>
      </x:c>
      <x:c r="F7" s="46" t="n">
        <x:v>10</x:v>
      </x:c>
      <x:c r="G7" s="42" t="n">
        <x:f>1-D7/B7</x:f>
        <x:v>0.9997510889856877</x:v>
      </x:c>
      <x:c r="H7" s="42" t="n">
        <x:f>E7/B7</x:f>
        <x:v>0.000373366521468575</x:v>
      </x:c>
      <x:c r="I7" s="42" t="n">
        <x:f>1-F7/B7</x:f>
        <x:v>0.9997925741547397</x:v>
      </x:c>
      <x:c r="J7" s="48" t="n">
        <x:v>880000</x:v>
      </x:c>
      <x:c r="K7" s="50"/>
    </x:row>
    <x:row r="8">
      <x:c r="A8" s="45" t="n">
        <x:v>45808</x:v>
      </x:c>
      <x:c r="B8" s="47" t="n">
        <x:v>49120</x:v>
      </x:c>
      <x:c r="C8" s="47" t="n">
        <x:v>49079</x:v>
      </x:c>
      <x:c r="D8" s="47" t="n">
        <x:v>14</x:v>
      </x:c>
      <x:c r="E8" s="47" t="n">
        <x:v>16</x:v>
      </x:c>
      <x:c r="F8" s="47" t="n">
        <x:v>11</x:v>
      </x:c>
      <x:c r="G8" s="43" t="n">
        <x:f>1-D8/B8</x:f>
        <x:v>0.9997149837133551</x:v>
      </x:c>
      <x:c r="H8" s="43" t="n">
        <x:f>E8/B8</x:f>
        <x:v>0.0003257328990228013</x:v>
      </x:c>
      <x:c r="I8" s="43" t="n">
        <x:f>1-F8/B8</x:f>
        <x:v>0.9997760586319219</x:v>
      </x:c>
      <x:c r="J8" s="49" t="n">
        <x:v>895000</x:v>
      </x:c>
      <x:c r="K8" s="51"/>
    </x:row>
    <x:row r="9">
      <x:c r="A9" s="45" t="n">
        <x:v>45838</x:v>
      </x:c>
      <x:c r="B9" s="47" t="n">
        <x:v>50340</x:v>
      </x:c>
      <x:c r="C9" s="47" t="n">
        <x:v>50296</x:v>
      </x:c>
      <x:c r="D9" s="47" t="n">
        <x:v>15</x:v>
      </x:c>
      <x:c r="E9" s="47" t="n">
        <x:v>17</x:v>
      </x:c>
      <x:c r="F9" s="47" t="n">
        <x:v>12</x:v>
      </x:c>
      <x:c r="G9" s="43" t="n">
        <x:f>1-D9/B9</x:f>
        <x:v>0.9997020262216925</x:v>
      </x:c>
      <x:c r="H9" s="43" t="n">
        <x:f>E9/B9</x:f>
        <x:v>0.0003377036154151768</x:v>
      </x:c>
      <x:c r="I9" s="43" t="n">
        <x:f>1-F9/B9</x:f>
        <x:v>0.999761620977354</x:v>
      </x:c>
      <x:c r="J9" s="49" t="n">
        <x:v>910000</x:v>
      </x:c>
      <x:c r="K9" s="51"/>
    </x:row>
    <x:row r="10">
      <x:c r="A10" s="45" t="n">
        <x:v>45869</x:v>
      </x:c>
      <x:c r="B10" s="47" t="n">
        <x:v>51440</x:v>
      </x:c>
      <x:c r="C10" s="47" t="n">
        <x:v>51397</x:v>
      </x:c>
      <x:c r="D10" s="47" t="n">
        <x:v>13</x:v>
      </x:c>
      <x:c r="E10" s="47" t="n">
        <x:v>19</x:v>
      </x:c>
      <x:c r="F10" s="47" t="n">
        <x:v>11</x:v>
      </x:c>
      <x:c r="G10" s="43" t="n">
        <x:f>1-D10/B10</x:f>
        <x:v>0.9997472783825816</x:v>
      </x:c>
      <x:c r="H10" s="43" t="n">
        <x:f>E10/B10</x:f>
        <x:v>0.0003693623639191291</x:v>
      </x:c>
      <x:c r="I10" s="43" t="n">
        <x:f>1-F10/B10</x:f>
        <x:v>0.9997861586314153</x:v>
      </x:c>
      <x:c r="J10" s="49" t="n">
        <x:v>925000</x:v>
      </x:c>
      <x:c r="K10" s="51"/>
    </x:row>
    <x:row r="11">
      <x:c r="A11" s="45" t="n">
        <x:v>45900</x:v>
      </x:c>
      <x:c r="B11" s="47" t="n">
        <x:v>52210</x:v>
      </x:c>
      <x:c r="C11" s="47" t="n">
        <x:v>52169</x:v>
      </x:c>
      <x:c r="D11" s="47" t="n">
        <x:v>14</x:v>
      </x:c>
      <x:c r="E11" s="47" t="n">
        <x:v>17</x:v>
      </x:c>
      <x:c r="F11" s="47" t="n">
        <x:v>10</x:v>
      </x:c>
      <x:c r="G11" s="43" t="n">
        <x:f>1-D11/B11</x:f>
        <x:v>0.9997318521356062</x:v>
      </x:c>
      <x:c r="H11" s="43" t="n">
        <x:f>E11/B11</x:f>
        <x:v>0.00032560812104960737</x:v>
      </x:c>
      <x:c r="I11" s="43" t="n">
        <x:f>1-F11/B11</x:f>
        <x:v>0.9998084658111472</x:v>
      </x:c>
      <x:c r="J11" s="49" t="n">
        <x:v>938000</x:v>
      </x:c>
      <x:c r="K11" s="51"/>
    </x:row>
    <x:row r="12">
      <x:c r="A12" s="45" t="n">
        <x:v>45930</x:v>
      </x:c>
      <x:c r="B12" s="47" t="n">
        <x:v>53180</x:v>
      </x:c>
      <x:c r="C12" s="47" t="n">
        <x:v>53140</x:v>
      </x:c>
      <x:c r="D12" s="47" t="n">
        <x:v>11</x:v>
      </x:c>
      <x:c r="E12" s="47" t="n">
        <x:v>18</x:v>
      </x:c>
      <x:c r="F12" s="47" t="n">
        <x:v>11</x:v>
      </x:c>
      <x:c r="G12" s="43" t="n">
        <x:f>1-D12/B12</x:f>
        <x:v>0.9997931553215494</x:v>
      </x:c>
      <x:c r="H12" s="43" t="n">
        <x:f>E12/B12</x:f>
        <x:v>0.0003384731101918014</x:v>
      </x:c>
      <x:c r="I12" s="43" t="n">
        <x:f>1-F12/B12</x:f>
        <x:v>0.9997931553215494</x:v>
      </x:c>
      <x:c r="J12" s="49" t="n">
        <x:v>947000</x:v>
      </x:c>
      <x:c r="K12" s="51"/>
    </x:row>
    <x:row r="13">
      <x:c r="A13" s="45" t="n">
        <x:v>45961</x:v>
      </x:c>
      <x:c r="B13" s="47" t="n">
        <x:v>54620</x:v>
      </x:c>
      <x:c r="C13" s="47" t="n">
        <x:v>54577</x:v>
      </x:c>
      <x:c r="D13" s="47" t="n">
        <x:v>15</x:v>
      </x:c>
      <x:c r="E13" s="47" t="n">
        <x:v>17</x:v>
      </x:c>
      <x:c r="F13" s="47" t="n">
        <x:v>11</x:v>
      </x:c>
      <x:c r="G13" s="43" t="n">
        <x:f>1-D13/B13</x:f>
        <x:v>0.9997253753203954</x:v>
      </x:c>
      <x:c r="H13" s="43" t="n">
        <x:f>E13/B13</x:f>
        <x:v>0.0003112413035518125</x:v>
      </x:c>
      <x:c r="I13" s="43" t="n">
        <x:f>1-F13/B13</x:f>
        <x:v>0.99979860856829</x:v>
      </x:c>
      <x:c r="J13" s="49" t="n">
        <x:v>962000</x:v>
      </x:c>
      <x:c r="K13" s="51"/>
    </x:row>
    <x:row r="14">
      <x:c r="A14" s="45" t="n">
        <x:v>45991</x:v>
      </x:c>
      <x:c r="B14" s="47" t="n">
        <x:v>55810</x:v>
      </x:c>
      <x:c r="C14" s="47" t="n">
        <x:v>55770</x:v>
      </x:c>
      <x:c r="D14" s="47" t="n">
        <x:v>12</x:v>
      </x:c>
      <x:c r="E14" s="47" t="n">
        <x:v>18</x:v>
      </x:c>
      <x:c r="F14" s="47" t="n">
        <x:v>10</x:v>
      </x:c>
      <x:c r="G14" s="43" t="n">
        <x:f>1-D14/B14</x:f>
        <x:v>0.9997849847697545</x:v>
      </x:c>
      <x:c r="H14" s="43" t="n">
        <x:f>E14/B14</x:f>
        <x:v>0.0003225228453682136</x:v>
      </x:c>
      <x:c r="I14" s="43" t="n">
        <x:f>1-F14/B14</x:f>
        <x:v>0.999820820641462</x:v>
      </x:c>
      <x:c r="J14" s="49" t="n">
        <x:v>970000</x:v>
      </x:c>
      <x:c r="K14" s="51"/>
    </x:row>
    <x:row r="15">
      <x:c r="A15" s="45" t="n">
        <x:v>46022</x:v>
      </x:c>
      <x:c r="B15" s="47" t="n">
        <x:v>57120</x:v>
      </x:c>
      <x:c r="C15" s="47" t="n">
        <x:v>57078</x:v>
      </x:c>
      <x:c r="D15" s="47" t="n">
        <x:v>14</x:v>
      </x:c>
      <x:c r="E15" s="47" t="n">
        <x:v>19</x:v>
      </x:c>
      <x:c r="F15" s="47" t="n">
        <x:v>9</x:v>
      </x:c>
      <x:c r="G15" s="43" t="n">
        <x:f>1-D15/B15</x:f>
        <x:v>0.9997549019607843</x:v>
      </x:c>
      <x:c r="H15" s="43" t="n">
        <x:f>E15/B15</x:f>
        <x:v>0.0003326330532212885</x:v>
      </x:c>
      <x:c r="I15" s="43" t="n">
        <x:f>1-F15/B15</x:f>
        <x:v>0.9998424369747899</x:v>
      </x:c>
      <x:c r="J15" s="49" t="n">
        <x:v>985000</x:v>
      </x:c>
      <x:c r="K15" s="51"/>
    </x:row>
    <x:row r="16">
      <x:c r="A16" s="45" t="n">
        <x:v>46053</x:v>
      </x:c>
      <x:c r="B16" s="47" t="n">
        <x:v>58450</x:v>
      </x:c>
      <x:c r="C16" s="47" t="n">
        <x:v>58402</x:v>
      </x:c>
      <x:c r="D16" s="47" t="n">
        <x:v>16</x:v>
      </x:c>
      <x:c r="E16" s="47" t="n">
        <x:v>20</x:v>
      </x:c>
      <x:c r="F16" s="47" t="n">
        <x:v>12</x:v>
      </x:c>
      <x:c r="G16" s="43" t="n">
        <x:f>1-D16/B16</x:f>
        <x:v>0.9997262617621899</x:v>
      </x:c>
      <x:c r="H16" s="43" t="n">
        <x:f>E16/B16</x:f>
        <x:v>0.00034217279726261765</x:v>
      </x:c>
      <x:c r="I16" s="43" t="n">
        <x:f>1-F16/B16</x:f>
        <x:v>0.9997946963216424</x:v>
      </x:c>
      <x:c r="J16" s="49" t="n">
        <x:v>984600</x:v>
      </x:c>
      <x:c r="K16" s="51"/>
    </x:row>
    <x:row r="17">
      <x:c r="A17" s="45" t="n">
        <x:v>46081</x:v>
      </x:c>
      <x:c r="B17" s="47" t="n">
        <x:v>59210</x:v>
      </x:c>
      <x:c r="C17" s="47" t="n">
        <x:v>59165</x:v>
      </x:c>
      <x:c r="D17" s="47" t="n">
        <x:v>14</x:v>
      </x:c>
      <x:c r="E17" s="47" t="n">
        <x:v>19</x:v>
      </x:c>
      <x:c r="F17" s="47" t="n">
        <x:v>12</x:v>
      </x:c>
      <x:c r="G17" s="43" t="n">
        <x:f>1-D17/B17</x:f>
        <x:v>0.9997635534538085</x:v>
      </x:c>
      <x:c r="H17" s="43" t="n">
        <x:f>E17/B17</x:f>
        <x:v>0.00032089174125992233</x:v>
      </x:c>
      <x:c r="I17" s="43" t="n">
        <x:f>1-F17/B17</x:f>
        <x:v>0.9997973315318358</x:v>
      </x:c>
      <x:c r="J17" s="49" t="n">
        <x:v>1018000</x:v>
      </x:c>
      <x:c r="K17" s="51"/>
    </x:row>
    <x:row r="18">
      <x:c r="A18" s="45" t="n">
        <x:v>46112</x:v>
      </x:c>
      <x:c r="B18" s="47" t="n">
        <x:v>60780</x:v>
      </x:c>
      <x:c r="C18" s="47" t="n">
        <x:v>60620</x:v>
      </x:c>
      <x:c r="D18" s="47" t="n">
        <x:v>62</x:v>
      </x:c>
      <x:c r="E18" s="47" t="n">
        <x:v>71</x:v>
      </x:c>
      <x:c r="F18" s="47" t="n">
        <x:v>27</x:v>
      </x:c>
      <x:c r="G18" s="43" t="n">
        <x:f>1-D18/B18</x:f>
        <x:v>0.9989799276077657</x:v>
      </x:c>
      <x:c r="H18" s="43" t="n">
        <x:f>E18/B18</x:f>
        <x:v>0.0011681474169134584</x:v>
      </x:c>
      <x:c r="I18" s="43" t="n">
        <x:f>1-F18/B18</x:f>
        <x:v>0.9995557749259625</x:v>
      </x:c>
      <x:c r="J18" s="49" t="n">
        <x:v>1062300</x:v>
      </x:c>
      <x:c r="K18" s="51" t="n">
        <x:f>IFERROR((J18-AVERAGE(J7:J17))/STDEV.S(J7:J17),0)</x:f>
        <x:v>2.7396418575261707</x:v>
      </x:c>
    </x:row>
  </x:sheetData>
  <x:mergeCells>
    <x:mergeCell ref="A2:H2"/>
    <x:mergeCell ref="A3:H3"/>
  </x:mergeCells>
  <x:conditionalFormatting sqref="G7: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18:K18">
    <x:cfRule type="cellIs" dxfId="6" priority="2" operator="greaterThan">
      <x:formula>3</x:formula>
    </x:cfRule>
  </x:conditionalFormatting>
  <x:pageMargins left="0.7" right="0.7" top="0.75" bottom="0.75" header="0.3" footer="0.3"/>
  <x:drawing xmlns:r="http://schemas.openxmlformats.org/officeDocument/2006/relationships" r:id="R6b5fed09cc20425c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22" hidden="0" customWidth="1"/>
    <x:col min="5" max="5" width="14" hidden="0" customWidth="1"/>
    <x:col min="6" max="6" width="16" hidden="0" customWidth="1"/>
    <x:col min="7" max="7" width="13" hidden="0" customWidth="1"/>
    <x:col min="8" max="8" width="20" hidden="0" customWidth="1"/>
    <x:col min="9" max="9" width="12" hidden="0" customWidth="1"/>
  </x:cols>
  <x:sheetData>
    <x:row r="1" ht="8" customHeight="1"/>
    <x:row r="2">
      <x:c r="A2" s="1" t="str">
        <x:v>Requirements Traceability Matrix</x:v>
      </x:c>
    </x:row>
    <x:row r="3">
      <x:c r="A3" s="2" t="str">
        <x:v>Bidirectional linkage from business need through design, implementation, test, defect, and approval</x:v>
      </x:c>
    </x:row>
    <x:row r="6">
      <x:c r="A6" s="14" t="str">
        <x:v>Requirement</x:v>
      </x:c>
      <x:c r="B6" s="15" t="str">
        <x:v>Business Objective</x:v>
      </x:c>
      <x:c r="C6" s="15" t="str">
        <x:v>KPI / Rule</x:v>
      </x:c>
      <x:c r="D6" s="15" t="str">
        <x:v>Design Component</x:v>
      </x:c>
      <x:c r="E6" s="15" t="str">
        <x:v>User Story</x:v>
      </x:c>
      <x:c r="F6" s="15" t="str">
        <x:v>UAT Test</x:v>
      </x:c>
      <x:c r="G6" s="15" t="str">
        <x:v>Defect</x:v>
      </x:c>
      <x:c r="H6" s="15" t="str">
        <x:v>Approval Owner</x:v>
      </x:c>
      <x:c r="I6" s="16" t="str">
        <x:v>Coverage</x:v>
      </x:c>
    </x:row>
    <x:row r="7">
      <x:c r="A7" s="34" t="str">
        <x:v>FR-01</x:v>
      </x:c>
      <x:c r="B7" s="34" t="str">
        <x:v>Standardize executive reporting</x:v>
      </x:c>
      <x:c r="C7" s="34" t="str">
        <x:v>KPI-03/05/06/08/09</x:v>
      </x:c>
      <x:c r="D7" s="34" t="str">
        <x:v>Executive Summary</x:v>
      </x:c>
      <x:c r="E7" s="34" t="str">
        <x:v>US-01/02</x:v>
      </x:c>
      <x:c r="F7" s="34" t="str">
        <x:v>UAT-01/04/05/07</x:v>
      </x:c>
      <x:c r="G7" s="34" t="str"/>
      <x:c r="H7" s="34" t="str">
        <x:v>BI Product Owner</x:v>
      </x:c>
      <x:c r="I7" s="34" t="str">
        <x:f>IF(AND(A7&lt;&gt;"",D7&lt;&gt;"",E7&lt;&gt;"",F7&lt;&gt;"",H7&lt;&gt;""),"Complete","Gap")</x:f>
        <x:v>Complete</x:v>
      </x:c>
    </x:row>
    <x:row r="8">
      <x:c r="A8" s="36" t="str">
        <x:v>FR-02</x:v>
      </x:c>
      <x:c r="B8" s="36" t="str">
        <x:v>Enable multidimensional analysis</x:v>
      </x:c>
      <x:c r="C8" s="36" t="str">
        <x:v>All KPIs</x:v>
      </x:c>
      <x:c r="D8" s="36" t="str">
        <x:v>Conformed dimensions</x:v>
      </x:c>
      <x:c r="E8" s="36" t="str">
        <x:v>US-02/03</x:v>
      </x:c>
      <x:c r="F8" s="36" t="str">
        <x:v>UAT-08/09</x:v>
      </x:c>
      <x:c r="G8" s="36" t="str"/>
      <x:c r="H8" s="36" t="str">
        <x:v>BI Product Owner</x:v>
      </x:c>
      <x:c r="I8" s="36" t="str">
        <x:f>IF(AND(A8&lt;&gt;"",D8&lt;&gt;"",E8&lt;&gt;"",F8&lt;&gt;"",H8&lt;&gt;""),"Complete","Gap")</x:f>
        <x:v>Complete</x:v>
      </x:c>
    </x:row>
    <x:row r="9">
      <x:c r="A9" s="36" t="str">
        <x:v>FR-03</x:v>
      </x:c>
      <x:c r="B9" s="36" t="str">
        <x:v>Make results auditable</x:v>
      </x:c>
      <x:c r="C9" s="36" t="str">
        <x:v>BR-02; DQ-10</x:v>
      </x:c>
      <x:c r="D9" s="36" t="str">
        <x:v>Lineage drill-through</x:v>
      </x:c>
      <x:c r="E9" s="36" t="str">
        <x:v>US-05</x:v>
      </x:c>
      <x:c r="F9" s="36" t="str">
        <x:v>UAT-10</x:v>
      </x:c>
      <x:c r="G9" s="36" t="str"/>
      <x:c r="H9" s="36" t="str">
        <x:v>Internal Audit</x:v>
      </x:c>
      <x:c r="I9" s="36" t="str">
        <x:f>IF(AND(A9&lt;&gt;"",D9&lt;&gt;"",E9&lt;&gt;"",F9&lt;&gt;"",H9&lt;&gt;""),"Complete","Gap")</x:f>
        <x:v>Complete</x:v>
      </x:c>
    </x:row>
    <x:row r="10">
      <x:c r="A10" s="36" t="str">
        <x:v>FR-04</x:v>
      </x:c>
      <x:c r="B10" s="36" t="str">
        <x:v>Expose reporting trust</x:v>
      </x:c>
      <x:c r="C10" s="36" t="str">
        <x:v>DQ-01 to DQ-10</x:v>
      </x:c>
      <x:c r="D10" s="36" t="str">
        <x:v>Data Quality page</x:v>
      </x:c>
      <x:c r="E10" s="36" t="str">
        <x:v>US-04/07</x:v>
      </x:c>
      <x:c r="F10" s="36" t="str">
        <x:v>UAT-11/12</x:v>
      </x:c>
      <x:c r="G10" s="36" t="str"/>
      <x:c r="H10" s="36" t="str">
        <x:v>Reporting Manager</x:v>
      </x:c>
      <x:c r="I10" s="36" t="str">
        <x:f>IF(AND(A10&lt;&gt;"",D10&lt;&gt;"",E10&lt;&gt;"",F10&lt;&gt;"",H10&lt;&gt;""),"Complete","Gap")</x:f>
        <x:v>Complete</x:v>
      </x:c>
    </x:row>
    <x:row r="11">
      <x:c r="A11" s="36" t="str">
        <x:v>NFR-01</x:v>
      </x:c>
      <x:c r="B11" s="36" t="str">
        <x:v>Maintain user productivity</x:v>
      </x:c>
      <x:c r="C11" s="36" t="str">
        <x:v>Performance SLA</x:v>
      </x:c>
      <x:c r="D11" s="36" t="str">
        <x:v>Aggregations/incremental refresh</x:v>
      </x:c>
      <x:c r="E11" s="36" t="str">
        <x:v>US-07</x:v>
      </x:c>
      <x:c r="F11" s="36" t="str">
        <x:v>UAT-16</x:v>
      </x:c>
      <x:c r="G11" s="36" t="str"/>
      <x:c r="H11" s="36" t="str">
        <x:v>BI Product Owner</x:v>
      </x:c>
      <x:c r="I11" s="36" t="str">
        <x:f>IF(AND(A11&lt;&gt;"",D11&lt;&gt;"",E11&lt;&gt;"",F11&lt;&gt;"",H11&lt;&gt;""),"Complete","Gap")</x:f>
        <x:v>Complete</x:v>
      </x:c>
    </x:row>
    <x:row r="12">
      <x:c r="A12" s="36" t="str">
        <x:v>NFR-02</x:v>
      </x:c>
      <x:c r="B12" s="36" t="str">
        <x:v>Accelerate close</x:v>
      </x:c>
      <x:c r="C12" s="36" t="str">
        <x:v>DQ-05</x:v>
      </x:c>
      <x:c r="D12" s="36" t="str">
        <x:v>Refresh orchestration</x:v>
      </x:c>
      <x:c r="E12" s="36" t="str">
        <x:v>US-07</x:v>
      </x:c>
      <x:c r="F12" s="36" t="str">
        <x:v>UAT-13</x:v>
      </x:c>
      <x:c r="G12" s="36" t="str"/>
      <x:c r="H12" s="36" t="str">
        <x:v>Reporting Manager</x:v>
      </x:c>
      <x:c r="I12" s="36" t="str">
        <x:f>IF(AND(A12&lt;&gt;"",D12&lt;&gt;"",E12&lt;&gt;"",F12&lt;&gt;"",H12&lt;&gt;""),"Complete","Gap")</x:f>
        <x:v>Complete</x:v>
      </x:c>
    </x:row>
    <x:row r="13">
      <x:c r="A13" s="36" t="str">
        <x:v>NFR-03</x:v>
      </x:c>
      <x:c r="B13" s="36" t="str">
        <x:v>Protect regional data</x:v>
      </x:c>
      <x:c r="C13" s="36" t="str">
        <x:v>RLS rule</x:v>
      </x:c>
      <x:c r="D13" s="36" t="str">
        <x:v>User-region bridge</x:v>
      </x:c>
      <x:c r="E13" s="36" t="str">
        <x:v>US-06</x:v>
      </x:c>
      <x:c r="F13" s="36" t="str">
        <x:v>UAT-14/15</x:v>
      </x:c>
      <x:c r="G13" s="36" t="str">
        <x:v>DEF-001</x:v>
      </x:c>
      <x:c r="H13" s="36" t="str">
        <x:v>Security Owner</x:v>
      </x:c>
      <x:c r="I13" s="36" t="str">
        <x:f>IF(AND(A13&lt;&gt;"",D13&lt;&gt;"",E13&lt;&gt;"",F13&lt;&gt;"",H13&lt;&gt;""),"Complete","Gap")</x:f>
        <x:v>Complete</x:v>
      </x:c>
    </x:row>
    <x:row r="14">
      <x:c r="A14" s="36" t="str">
        <x:v>NFR-04</x:v>
      </x:c>
      <x:c r="B14" s="36" t="str">
        <x:v>Preserve evidence</x:v>
      </x:c>
      <x:c r="C14" s="36" t="str">
        <x:v>Retention rule</x:v>
      </x:c>
      <x:c r="D14" s="36" t="str">
        <x:v>Landing/audit store</x:v>
      </x:c>
      <x:c r="E14" s="36" t="str">
        <x:v>US-05</x:v>
      </x:c>
      <x:c r="F14" s="36" t="str">
        <x:v>UAT-10</x:v>
      </x:c>
      <x:c r="G14" s="36" t="str"/>
      <x:c r="H14" s="36" t="str">
        <x:v>Data Owner</x:v>
      </x:c>
      <x:c r="I14" s="36" t="str">
        <x:f>IF(AND(A14&lt;&gt;"",D14&lt;&gt;"",E14&lt;&gt;"",F14&lt;&gt;"",H14&lt;&gt;""),"Complete","Gap")</x:f>
        <x:v>Complete</x:v>
      </x:c>
    </x:row>
    <x:row r="15">
      <x:c r="A15" s="36" t="str">
        <x:v>NFR-05</x:v>
      </x:c>
      <x:c r="B15" s="36" t="str">
        <x:v>Provide dependable access</x:v>
      </x:c>
      <x:c r="C15" s="36" t="str">
        <x:v>Availability SLA</x:v>
      </x:c>
      <x:c r="D15" s="36" t="str">
        <x:v>Service monitoring</x:v>
      </x:c>
      <x:c r="E15" s="36" t="str">
        <x:v>US-07</x:v>
      </x:c>
      <x:c r="F15" s="36" t="str">
        <x:v>UAT-13</x:v>
      </x:c>
      <x:c r="G15" s="36" t="str"/>
      <x:c r="H15" s="36" t="str">
        <x:v>BI Product Owner</x:v>
      </x:c>
      <x:c r="I15" s="36" t="str">
        <x:f>IF(AND(A15&lt;&gt;"",D15&lt;&gt;"",E15&lt;&gt;"",F15&lt;&gt;"",H15&lt;&gt;""),"Complete","Gap")</x:f>
        <x:v>Complete</x:v>
      </x:c>
    </x:row>
  </x:sheetData>
  <x:mergeCells>
    <x:mergeCell ref="A2:H2"/>
    <x:mergeCell ref="A3:H3"/>
  </x:mergeCells>
  <x:conditionalFormatting sqref="I7:I15">
    <x:cfRule type="containsText" dxfId="7" priority="1" operator="containsText" text="Ga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1" hidden="0" customWidth="1"/>
    <x:col min="5" max="5" width="14" hidden="0" customWidth="1"/>
    <x:col min="6" max="6" width="16" hidden="0" customWidth="1"/>
    <x:col min="7" max="7" width="21" hidden="0" customWidth="1"/>
  </x:cols>
  <x:sheetData>
    <x:row r="1" ht="8" customHeight="1"/>
    <x:row r="2">
      <x:c r="A2" s="1" t="str">
        <x:v>Benefits Realization Model</x:v>
      </x:c>
    </x:row>
    <x:row r="3">
      <x:c r="A3" s="2" t="str">
        <x:v>Illustrative planning assumptions; replace with approved finance inputs before funding approval</x:v>
      </x:c>
    </x:row>
    <x:row r="6">
      <x:c r="A6" s="14" t="str">
        <x:v>Benefit Driver</x:v>
      </x:c>
      <x:c r="B6" s="15" t="str">
        <x:v>Baseline Hours / Month</x:v>
      </x:c>
      <x:c r="C6" s="15" t="str">
        <x:v>Target Hours / Month</x:v>
      </x:c>
      <x:c r="D6" s="15" t="str">
        <x:v>Hours Released / Month</x:v>
      </x:c>
      <x:c r="E6" s="15" t="str">
        <x:v>Annual Hours</x:v>
      </x:c>
      <x:c r="F6" s="15" t="str">
        <x:v>Blended Rate</x:v>
      </x:c>
      <x:c r="G6" s="16" t="str">
        <x:v>Annual Capacity Value</x:v>
      </x:c>
    </x:row>
    <x:row r="7">
      <x:c r="A7" s="34" t="str">
        <x:v>Reporting analyst effort</x:v>
      </x:c>
      <x:c r="B7" s="34" t="n">
        <x:v>80</x:v>
      </x:c>
      <x:c r="C7" s="34" t="n">
        <x:v>24</x:v>
      </x:c>
      <x:c r="D7" s="34" t="n">
        <x:f>B7-C7</x:f>
        <x:v>56</x:v>
      </x:c>
      <x:c r="E7" s="34" t="n">
        <x:f>D7*12</x:f>
        <x:v>672</x:v>
      </x:c>
      <x:c r="F7" s="48" t="n">
        <x:v>65</x:v>
      </x:c>
      <x:c r="G7" s="48" t="n">
        <x:f>E7*F7</x:f>
        <x:v>43680</x:v>
      </x:c>
    </x:row>
    <x:row r="8">
      <x:c r="A8" s="36" t="str">
        <x:v>Manager review effort</x:v>
      </x:c>
      <x:c r="B8" s="36" t="n">
        <x:v>30</x:v>
      </x:c>
      <x:c r="C8" s="36" t="n">
        <x:v>12</x:v>
      </x:c>
      <x:c r="D8" s="36" t="n">
        <x:f>B8-C8</x:f>
        <x:v>18</x:v>
      </x:c>
      <x:c r="E8" s="36" t="n">
        <x:f>D8*12</x:f>
        <x:v>216</x:v>
      </x:c>
      <x:c r="F8" s="49" t="n">
        <x:v>65</x:v>
      </x:c>
      <x:c r="G8" s="49" t="n">
        <x:f>E8*F8</x:f>
        <x:v>14040</x:v>
      </x:c>
    </x:row>
    <x:row r="9">
      <x:c r="A9" s="36" t="str">
        <x:v>Defect rework</x:v>
      </x:c>
      <x:c r="B9" s="36" t="n">
        <x:v>20</x:v>
      </x:c>
      <x:c r="C9" s="36" t="n">
        <x:v>5</x:v>
      </x:c>
      <x:c r="D9" s="36" t="n">
        <x:f>B9-C9</x:f>
        <x:v>15</x:v>
      </x:c>
      <x:c r="E9" s="36" t="n">
        <x:f>D9*12</x:f>
        <x:v>180</x:v>
      </x:c>
      <x:c r="F9" s="49" t="n">
        <x:v>65</x:v>
      </x:c>
      <x:c r="G9" s="49" t="n">
        <x:f>E9*F9</x:f>
        <x:v>11700</x:v>
      </x:c>
    </x:row>
    <x:row r="12">
      <x:c r="A12" s="14" t="str">
        <x:v>Financial Summary</x:v>
      </x:c>
      <x:c r="B12" s="16" t="str">
        <x:v>Value</x:v>
      </x:c>
    </x:row>
    <x:row r="13">
      <x:c r="A13" s="34" t="str">
        <x:v>Annual capacity value</x:v>
      </x:c>
      <x:c r="B13" s="48" t="n">
        <x:f>SUM(G7:G9)</x:f>
        <x:v>69420</x:v>
      </x:c>
    </x:row>
    <x:row r="14">
      <x:c r="A14" s="36" t="str">
        <x:v>Implementation + year-one operating cost</x:v>
      </x:c>
      <x:c r="B14" s="49" t="n">
        <x:v>54000</x:v>
      </x:c>
    </x:row>
    <x:row r="15">
      <x:c r="A15" s="36" t="str">
        <x:v>First-year net benefit</x:v>
      </x:c>
      <x:c r="B15" s="49" t="n">
        <x:f>B13-B14</x:f>
        <x:v>15420</x:v>
      </x:c>
    </x:row>
    <x:row r="16">
      <x:c r="A16" s="36" t="str">
        <x:v>Benefit-cost ratio</x:v>
      </x:c>
      <x:c r="B16" s="52" t="n">
        <x:f>B13/B14</x:f>
        <x:v>1.2855555555555556</x:v>
      </x:c>
    </x:row>
    <x:row r="17">
      <x:c r="A17" s="36" t="str">
        <x:v>Payback months</x:v>
      </x:c>
      <x:c r="B17" s="53" t="n">
        <x:f>B14/(B13/12)</x:f>
        <x:v>9.33448573898012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55A11"/>
  </x:sheetPr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0" hidden="0" customWidth="1"/>
    <x:col min="5" max="5" width="18" hidden="0" customWidth="1"/>
    <x:col min="6" max="6" width="13" hidden="0" customWidth="1"/>
    <x:col min="7" max="7" width="13" hidden="0" customWidth="1"/>
    <x:col min="8" max="8" width="17" hidden="0" customWidth="1"/>
    <x:col min="9" max="9" width="16" hidden="0" customWidth="1"/>
    <x:col min="10" max="10" width="26" hidden="0" customWidth="1"/>
  </x:cols>
  <x:sheetData>
    <x:row r="1" ht="8" customHeight="1"/>
    <x:row r="2">
      <x:c r="A2" s="1" t="str">
        <x:v>UAT Defect Log</x:v>
      </x:c>
    </x:row>
    <x:row r="3">
      <x:c r="A3" s="2" t="str">
        <x:v>Severity: 1 Critical, 2 High, 3 Medium, 4 Low</x:v>
      </x:c>
    </x:row>
    <x:row r="6">
      <x:c r="A6" s="14" t="str">
        <x:v>Defect ID</x:v>
      </x:c>
      <x:c r="B6" s="15" t="str">
        <x:v>Test ID</x:v>
      </x:c>
      <x:c r="C6" s="15" t="str">
        <x:v>Summary</x:v>
      </x:c>
      <x:c r="D6" s="15" t="str">
        <x:v>Severity</x:v>
      </x:c>
      <x:c r="E6" s="15" t="str">
        <x:v>Owner</x:v>
      </x:c>
      <x:c r="F6" s="15" t="str">
        <x:v>Opened</x:v>
      </x:c>
      <x:c r="G6" s="15" t="str">
        <x:v>Target Fix</x:v>
      </x:c>
      <x:c r="H6" s="15" t="str">
        <x:v>Status</x:v>
      </x:c>
      <x:c r="I6" s="15" t="str">
        <x:v>Retest Result</x:v>
      </x:c>
      <x:c r="J6" s="16" t="str">
        <x:v>Notes</x:v>
      </x:c>
    </x:row>
    <x:row r="7">
      <x:c r="A7" s="34" t="str">
        <x:v>DEF-001</x:v>
      </x:c>
      <x:c r="B7" s="34" t="str">
        <x:v>UAT-14 / 15</x:v>
      </x:c>
      <x:c r="C7" s="34" t="str">
        <x:v>RLS tenant role not provisioned</x:v>
      </x:c>
      <x:c r="D7" s="34" t="n">
        <x:v>2</x:v>
      </x:c>
      <x:c r="E7" s="34" t="str">
        <x:v>Security Admin</x:v>
      </x:c>
      <x:c r="F7" s="38" t="n">
        <x:v>46281</x:v>
      </x:c>
      <x:c r="G7" s="38" t="n">
        <x:v>46286</x:v>
      </x:c>
      <x:c r="H7" s="34" t="str">
        <x:v>In Progress</x:v>
      </x:c>
      <x:c r="I7" s="34" t="str">
        <x:v>Not Retested</x:v>
      </x:c>
      <x:c r="J7" s="34" t="str">
        <x:v>Blocks security exit tests</x:v>
      </x:c>
    </x:row>
    <x:row r="8">
      <x:c r="A8" s="36" t="str">
        <x:v>DEF-002</x:v>
      </x:c>
      <x:c r="B8" s="36" t="str">
        <x:v>UAT-17</x:v>
      </x:c>
      <x:c r="C8" s="36" t="str">
        <x:v>Initial focus order skipped certification banner</x:v>
      </x:c>
      <x:c r="D8" s="36" t="n">
        <x:v>3</x:v>
      </x:c>
      <x:c r="E8" s="36" t="str">
        <x:v>BI Developer</x:v>
      </x:c>
      <x:c r="F8" s="39" t="n">
        <x:v>46282</x:v>
      </x:c>
      <x:c r="G8" s="39" t="n">
        <x:v>46282</x:v>
      </x:c>
      <x:c r="H8" s="36" t="str">
        <x:v>Closed</x:v>
      </x:c>
      <x:c r="I8" s="36" t="str">
        <x:v>Pass</x:v>
      </x:c>
      <x:c r="J8" s="36" t="str">
        <x:v>Corrected and retested</x:v>
      </x:c>
    </x:row>
    <x:row r="9">
      <x:c r="A9" s="36"/>
      <x:c r="B9" s="36"/>
      <x:c r="C9" s="36"/>
      <x:c r="D9" s="36"/>
      <x:c r="E9" s="36"/>
      <x:c r="F9" s="39"/>
      <x:c r="G9" s="39"/>
      <x:c r="H9" s="36"/>
      <x:c r="I9" s="36"/>
      <x:c r="J9" s="36"/>
    </x:row>
    <x:row r="10">
      <x:c r="A10" s="36"/>
      <x:c r="B10" s="36"/>
      <x:c r="C10" s="36"/>
      <x:c r="D10" s="36"/>
      <x:c r="E10" s="36"/>
      <x:c r="F10" s="39"/>
      <x:c r="G10" s="39"/>
      <x:c r="H10" s="36"/>
      <x:c r="I10" s="36"/>
      <x:c r="J10" s="36"/>
    </x:row>
    <x:row r="11">
      <x:c r="A11" s="36"/>
      <x:c r="B11" s="36"/>
      <x:c r="C11" s="36"/>
      <x:c r="D11" s="36"/>
      <x:c r="E11" s="36"/>
      <x:c r="F11" s="39"/>
      <x:c r="G11" s="39"/>
      <x:c r="H11" s="36"/>
      <x:c r="I11" s="36"/>
      <x:c r="J11" s="36"/>
    </x:row>
    <x:row r="12">
      <x:c r="A12" s="36"/>
      <x:c r="B12" s="36"/>
      <x:c r="C12" s="36"/>
      <x:c r="D12" s="36"/>
      <x:c r="E12" s="36"/>
      <x:c r="F12" s="39"/>
      <x:c r="G12" s="39"/>
      <x:c r="H12" s="36"/>
      <x:c r="I12" s="36"/>
      <x:c r="J12" s="36"/>
    </x:row>
    <x:row r="13">
      <x:c r="A13" s="36"/>
      <x:c r="B13" s="36"/>
      <x:c r="C13" s="36"/>
      <x:c r="D13" s="36"/>
      <x:c r="E13" s="36"/>
      <x:c r="F13" s="39"/>
      <x:c r="G13" s="39"/>
      <x:c r="H13" s="36"/>
      <x:c r="I13" s="36"/>
      <x:c r="J13" s="36"/>
    </x:row>
    <x:row r="14">
      <x:c r="A14" s="36"/>
      <x:c r="B14" s="36"/>
      <x:c r="C14" s="36"/>
      <x:c r="D14" s="36"/>
      <x:c r="E14" s="36"/>
      <x:c r="F14" s="39"/>
      <x:c r="G14" s="39"/>
      <x:c r="H14" s="36"/>
      <x:c r="I14" s="36"/>
      <x:c r="J14" s="36"/>
    </x:row>
    <x:row r="15">
      <x:c r="A15" s="36"/>
      <x:c r="B15" s="36"/>
      <x:c r="C15" s="36"/>
      <x:c r="D15" s="36"/>
      <x:c r="E15" s="36"/>
      <x:c r="F15" s="39"/>
      <x:c r="G15" s="39"/>
      <x:c r="H15" s="36"/>
      <x:c r="I15" s="36"/>
      <x:c r="J15" s="36"/>
    </x:row>
    <x:row r="16">
      <x:c r="A16" s="36"/>
      <x:c r="B16" s="36"/>
      <x:c r="C16" s="36"/>
      <x:c r="D16" s="36"/>
      <x:c r="E16" s="36"/>
      <x:c r="F16" s="39"/>
      <x:c r="G16" s="39"/>
      <x:c r="H16" s="36"/>
      <x:c r="I16" s="36"/>
      <x:c r="J16" s="36"/>
    </x:row>
    <x:row r="17">
      <x:c r="A17" s="36"/>
      <x:c r="B17" s="36"/>
      <x:c r="C17" s="36"/>
      <x:c r="D17" s="36"/>
      <x:c r="E17" s="36"/>
      <x:c r="F17" s="39"/>
      <x:c r="G17" s="39"/>
      <x:c r="H17" s="36"/>
      <x:c r="I17" s="36"/>
      <x:c r="J17" s="36"/>
    </x:row>
    <x:row r="18">
      <x:c r="A18" s="36"/>
      <x:c r="B18" s="36"/>
      <x:c r="C18" s="36"/>
      <x:c r="D18" s="36"/>
      <x:c r="E18" s="36"/>
      <x:c r="F18" s="39"/>
      <x:c r="G18" s="39"/>
      <x:c r="H18" s="36"/>
      <x:c r="I18" s="36"/>
      <x:c r="J18" s="36"/>
    </x:row>
    <x:row r="19">
      <x:c r="A19" s="36"/>
      <x:c r="B19" s="36"/>
      <x:c r="C19" s="36"/>
      <x:c r="D19" s="36"/>
      <x:c r="E19" s="36"/>
      <x:c r="F19" s="39"/>
      <x:c r="G19" s="39"/>
      <x:c r="H19" s="36"/>
      <x:c r="I19" s="36"/>
      <x:c r="J19" s="36"/>
    </x:row>
    <x:row r="20">
      <x:c r="A20" s="36"/>
      <x:c r="B20" s="36"/>
      <x:c r="C20" s="36"/>
      <x:c r="D20" s="36"/>
      <x:c r="E20" s="36"/>
      <x:c r="F20" s="39"/>
      <x:c r="G20" s="39"/>
      <x:c r="H20" s="36"/>
      <x:c r="I20" s="36"/>
      <x:c r="J20" s="36"/>
    </x:row>
  </x:sheetData>
  <x:mergeCells>
    <x:mergeCell ref="A2:H2"/>
    <x:mergeCell ref="A3:H3"/>
  </x:mergeCells>
  <x:dataValidations count="2">
    <x:dataValidation type="whole" operator="between" sqref="D7:D20">
      <x:formula1>1</x:formula1>
      <x:formula2>4</x:formula2>
    </x:dataValidation>
    <x:dataValidation type="list" sqref="H7:H20">
      <x:formula1>"Open,In Progress,Ready for Retest,Closed,Deferred"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25" hidden="0" customWidth="1"/>
  </x:cols>
  <x:sheetData>
    <x:row r="1" ht="8" customHeight="1"/>
    <x:row r="2">
      <x:c r="A2" s="1" t="str">
        <x:v>UAT Sign-Off</x:v>
      </x:c>
    </x:row>
    <x:row r="3">
      <x:c r="A3" s="2" t="str">
        <x:v>Approval is recorded after exit criteria are met and evidence is reviewed</x:v>
      </x:c>
    </x:row>
    <x:row r="6">
      <x:c r="A6" s="14" t="str">
        <x:v>Role</x:v>
      </x:c>
      <x:c r="B6" s="15" t="str">
        <x:v>Approver</x:v>
      </x:c>
      <x:c r="C6" s="15" t="str">
        <x:v>Area</x:v>
      </x:c>
      <x:c r="D6" s="15" t="str">
        <x:v>Decision</x:v>
      </x:c>
      <x:c r="E6" s="15" t="str">
        <x:v>Decision Date</x:v>
      </x:c>
      <x:c r="F6" s="15" t="str">
        <x:v>Conditions</x:v>
      </x:c>
      <x:c r="G6" s="16" t="str">
        <x:v>Signature / Evidence Ref</x:v>
      </x:c>
    </x:row>
    <x:row r="7">
      <x:c r="A7" s="34" t="str">
        <x:v>Corporate Controller</x:v>
      </x:c>
      <x:c r="B7" s="34" t="str">
        <x:v>A. Patel</x:v>
      </x:c>
      <x:c r="C7" s="34" t="str">
        <x:v>Finance KPIs &amp; reconciliation</x:v>
      </x:c>
      <x:c r="D7" s="34" t="str">
        <x:v>Pending</x:v>
      </x:c>
      <x:c r="E7" s="38"/>
      <x:c r="F7" s="34" t="str">
        <x:v>Security tests must pass</x:v>
      </x:c>
      <x:c r="G7" s="34" t="str"/>
    </x:row>
    <x:row r="8">
      <x:c r="A8" s="36" t="str">
        <x:v>Operations Director</x:v>
      </x:c>
      <x:c r="B8" s="36" t="str">
        <x:v>M. Chen</x:v>
      </x:c>
      <x:c r="C8" s="36" t="str">
        <x:v>Operations KPIs</x:v>
      </x:c>
      <x:c r="D8" s="36" t="str">
        <x:v>Approved</x:v>
      </x:c>
      <x:c r="E8" s="39" t="n">
        <x:v>46283</x:v>
      </x:c>
      <x:c r="F8" s="36" t="str">
        <x:v>None</x:v>
      </x:c>
      <x:c r="G8" s="36" t="str">
        <x:v>Email approval OPS-18</x:v>
      </x:c>
    </x:row>
    <x:row r="9">
      <x:c r="A9" s="36" t="str">
        <x:v>BI Product Owner</x:v>
      </x:c>
      <x:c r="B9" s="36" t="str">
        <x:v>J. Rivera</x:v>
      </x:c>
      <x:c r="C9" s="36" t="str">
        <x:v>Dashboard &amp; operations</x:v>
      </x:c>
      <x:c r="D9" s="36" t="str">
        <x:v>Pending</x:v>
      </x:c>
      <x:c r="E9" s="39"/>
      <x:c r="F9" s="36" t="str">
        <x:v>Close DEF-001</x:v>
      </x:c>
      <x:c r="G9" s="36" t="str"/>
    </x:row>
    <x:row r="10">
      <x:c r="A10" s="36" t="str">
        <x:v>Data Steward</x:v>
      </x:c>
      <x:c r="B10" s="36" t="str">
        <x:v>S. Brooks</x:v>
      </x:c>
      <x:c r="C10" s="36" t="str">
        <x:v>Mappings &amp; data quality</x:v>
      </x:c>
      <x:c r="D10" s="36" t="str">
        <x:v>Approved</x:v>
      </x:c>
      <x:c r="E10" s="39" t="n">
        <x:v>46283</x:v>
      </x:c>
      <x:c r="F10" s="36" t="str">
        <x:v>None</x:v>
      </x:c>
      <x:c r="G10" s="36" t="str">
        <x:v>Confluence decision DQ-42</x:v>
      </x:c>
    </x:row>
    <x:row r="11">
      <x:c r="A11" s="36"/>
      <x:c r="B11" s="36"/>
      <x:c r="C11" s="36"/>
      <x:c r="D11" s="36"/>
      <x:c r="E11" s="39"/>
      <x:c r="F11" s="36"/>
      <x:c r="G11" s="36"/>
    </x:row>
    <x:row r="12">
      <x:c r="A12" s="36"/>
      <x:c r="B12" s="36"/>
      <x:c r="C12" s="36"/>
      <x:c r="D12" s="36"/>
      <x:c r="E12" s="39"/>
      <x:c r="F12" s="36"/>
      <x:c r="G12" s="36"/>
    </x:row>
  </x:sheetData>
  <x:mergeCells>
    <x:mergeCell ref="A2:H2"/>
    <x:mergeCell ref="A3:H3"/>
  </x:mergeCells>
  <x:dataValidations count="1">
    <x:dataValidation type="list" sqref="D7:D12">
      <x:formula1>"Pending,Approved,Approved with Conditions,Rejected"</x:formula1>
    </x:dataValidation>
  </x:dataValidations>
  <x:pageMargins left="0.7" right="0.7" top="0.75" bottom="0.75" header="0.3" footer="0.3"/>
</x:worksheet>
</file>